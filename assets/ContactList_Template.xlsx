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/Users/cms89/Downloads/"/>
    </mc:Choice>
  </mc:AlternateContent>
  <xr:revisionPtr revIDLastSave="0" documentId="13_ncr:1_{EA84E9E9-A224-E843-B49F-C79C3BC2450F}" xr6:coauthVersionLast="47" xr6:coauthVersionMax="47" xr10:uidLastSave="{00000000-0000-0000-0000-000000000000}"/>
  <workbookProtection lockStructure="1"/>
  <bookViews>
    <workbookView xWindow="0" yWindow="680" windowWidth="34560" windowHeight="20600" xr2:uid="{00000000-000D-0000-FFFF-FFFF00000000}"/>
  </bookViews>
  <sheets>
    <sheet name="ContactLis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13" i="1" l="1"/>
  <c r="H25" i="1" l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2" i="1"/>
  <c r="H3" i="1"/>
  <c r="H4" i="1"/>
  <c r="H5" i="1"/>
  <c r="H6" i="1"/>
  <c r="H7" i="1"/>
  <c r="H8" i="1"/>
  <c r="H9" i="1"/>
  <c r="H10" i="1"/>
  <c r="H11" i="1"/>
  <c r="H12" i="1"/>
  <c r="H14" i="1"/>
  <c r="H15" i="1"/>
  <c r="H16" i="1"/>
  <c r="H17" i="1"/>
  <c r="H18" i="1"/>
  <c r="H19" i="1"/>
  <c r="H20" i="1"/>
  <c r="H21" i="1"/>
  <c r="H22" i="1"/>
  <c r="H23" i="1"/>
  <c r="H24" i="1"/>
  <c r="R2" i="1" l="1" a="1"/>
  <c r="R3" i="1" s="1" a="1"/>
  <c r="R4" i="1" s="1" a="1"/>
  <c r="R5" i="1" s="1" a="1"/>
  <c r="R6" i="1" s="1" a="1"/>
  <c r="R7" i="1" s="1" a="1"/>
  <c r="R8" i="1" s="1" a="1"/>
  <c r="R9" i="1" s="1" a="1"/>
  <c r="R10" i="1" s="1" a="1"/>
  <c r="R11" i="1" s="1" a="1"/>
  <c r="R12" i="1" s="1" a="1"/>
  <c r="R13" i="1" s="1" a="1"/>
  <c r="R14" i="1" s="1" a="1"/>
  <c r="R15" i="1" s="1" a="1"/>
  <c r="R16" i="1" s="1" a="1"/>
  <c r="R17" i="1" s="1" a="1"/>
  <c r="R18" i="1" s="1" a="1"/>
  <c r="R19" i="1" s="1" a="1"/>
  <c r="R20" i="1" s="1" a="1"/>
  <c r="R21" i="1" s="1" a="1"/>
  <c r="R22" i="1" s="1" a="1"/>
  <c r="R23" i="1" s="1" a="1"/>
  <c r="R24" i="1" s="1" a="1"/>
  <c r="R25" i="1" s="1" a="1"/>
  <c r="R26" i="1" s="1" a="1"/>
  <c r="R27" i="1" s="1" a="1"/>
  <c r="R28" i="1" s="1" a="1"/>
  <c r="R29" i="1" s="1" a="1"/>
  <c r="R30" i="1" s="1" a="1"/>
  <c r="R31" i="1" s="1" a="1"/>
  <c r="R32" i="1" s="1" a="1"/>
  <c r="R33" i="1" s="1" a="1"/>
  <c r="R34" i="1" s="1" a="1"/>
  <c r="R35" i="1" s="1" a="1"/>
  <c r="R36" i="1" s="1" a="1"/>
  <c r="R37" i="1" s="1" a="1"/>
  <c r="R38" i="1" s="1" a="1"/>
  <c r="R39" i="1" s="1" a="1"/>
  <c r="R40" i="1" s="1" a="1"/>
  <c r="R41" i="1" s="1" a="1"/>
  <c r="R42" i="1" s="1" a="1"/>
  <c r="R43" i="1" s="1" a="1"/>
  <c r="R44" i="1" s="1" a="1"/>
  <c r="R45" i="1" s="1" a="1"/>
  <c r="R46" i="1" s="1" a="1"/>
  <c r="R47" i="1" s="1" a="1"/>
  <c r="R48" i="1" s="1" a="1"/>
  <c r="R49" i="1" s="1" a="1"/>
  <c r="R50" i="1" s="1" a="1"/>
  <c r="R51" i="1" s="1" a="1"/>
  <c r="R52" i="1" s="1" a="1"/>
  <c r="R53" i="1" s="1" a="1"/>
  <c r="R54" i="1" s="1" a="1"/>
  <c r="R55" i="1" s="1" a="1"/>
  <c r="R56" i="1" s="1" a="1"/>
  <c r="R57" i="1" s="1" a="1"/>
  <c r="R58" i="1" s="1" a="1"/>
  <c r="R59" i="1" s="1" a="1"/>
  <c r="R60" i="1" s="1" a="1"/>
  <c r="R61" i="1" s="1" a="1"/>
  <c r="R62" i="1" s="1" a="1"/>
  <c r="R63" i="1" s="1" a="1"/>
  <c r="R64" i="1" s="1" a="1"/>
  <c r="R65" i="1" s="1" a="1"/>
  <c r="R66" i="1" s="1" a="1"/>
  <c r="R67" i="1" s="1" a="1"/>
  <c r="R68" i="1" s="1" a="1"/>
  <c r="R69" i="1" s="1" a="1"/>
  <c r="R70" i="1" s="1" a="1"/>
  <c r="R71" i="1" s="1" a="1"/>
  <c r="R72" i="1" s="1" a="1"/>
  <c r="R73" i="1" s="1" a="1"/>
  <c r="R74" i="1" s="1" a="1"/>
  <c r="R75" i="1" s="1" a="1"/>
  <c r="R76" i="1" s="1" a="1"/>
  <c r="R77" i="1" s="1" a="1"/>
  <c r="R78" i="1" s="1" a="1"/>
  <c r="R79" i="1" s="1" a="1"/>
  <c r="R80" i="1" s="1" a="1"/>
  <c r="R81" i="1" s="1" a="1"/>
  <c r="R82" i="1" s="1" a="1"/>
  <c r="R83" i="1" s="1" a="1"/>
  <c r="R84" i="1" s="1" a="1"/>
  <c r="R85" i="1" s="1" a="1"/>
  <c r="R86" i="1" s="1" a="1"/>
  <c r="R87" i="1" s="1" a="1"/>
  <c r="R88" i="1" s="1" a="1"/>
  <c r="R89" i="1" s="1" a="1"/>
  <c r="R90" i="1" s="1" a="1"/>
  <c r="R91" i="1" s="1" a="1"/>
  <c r="R92" i="1" s="1" a="1"/>
  <c r="R93" i="1" s="1" a="1"/>
  <c r="R94" i="1" s="1" a="1"/>
  <c r="R95" i="1" s="1" a="1"/>
  <c r="R96" i="1" s="1" a="1"/>
  <c r="R97" i="1" s="1" a="1"/>
  <c r="R98" i="1" s="1" a="1"/>
  <c r="R99" i="1" s="1" a="1"/>
  <c r="R100" i="1" s="1" a="1"/>
  <c r="Q2" i="1" a="1"/>
  <c r="Q3" i="1" s="1" a="1"/>
  <c r="Q4" i="1" s="1" a="1"/>
  <c r="Q5" i="1" s="1" a="1"/>
  <c r="Q6" i="1" s="1" a="1"/>
  <c r="Q7" i="1" s="1" a="1"/>
  <c r="Q8" i="1" s="1" a="1"/>
  <c r="Q9" i="1" s="1" a="1"/>
  <c r="Q10" i="1" s="1" a="1"/>
  <c r="Q11" i="1" s="1" a="1"/>
  <c r="Q12" i="1" s="1" a="1"/>
  <c r="Q13" i="1" s="1" a="1"/>
  <c r="Q14" i="1" s="1" a="1"/>
  <c r="Q15" i="1" s="1" a="1"/>
  <c r="Q16" i="1" s="1" a="1"/>
  <c r="Q17" i="1" s="1" a="1"/>
  <c r="Q18" i="1" s="1" a="1"/>
  <c r="Q19" i="1" s="1" a="1"/>
  <c r="Q20" i="1" s="1" a="1"/>
  <c r="Q21" i="1" s="1" a="1"/>
  <c r="Q22" i="1" s="1" a="1"/>
  <c r="Q23" i="1" s="1" a="1"/>
  <c r="Q24" i="1" s="1" a="1"/>
  <c r="Q25" i="1" s="1" a="1"/>
  <c r="Q26" i="1" s="1" a="1"/>
  <c r="Q27" i="1" s="1" a="1"/>
  <c r="Q28" i="1" s="1" a="1"/>
  <c r="Q29" i="1" s="1" a="1"/>
  <c r="Q30" i="1" s="1" a="1"/>
  <c r="Q31" i="1" s="1" a="1"/>
  <c r="Q32" i="1" s="1" a="1"/>
  <c r="Q33" i="1" s="1" a="1"/>
  <c r="Q34" i="1" s="1" a="1"/>
  <c r="Q35" i="1" s="1" a="1"/>
  <c r="Q36" i="1" s="1" a="1"/>
  <c r="Q37" i="1" s="1" a="1"/>
  <c r="Q38" i="1" s="1" a="1"/>
  <c r="Q39" i="1" s="1" a="1"/>
  <c r="Q40" i="1" s="1" a="1"/>
  <c r="Q41" i="1" s="1" a="1"/>
  <c r="Q42" i="1" s="1" a="1"/>
  <c r="Q43" i="1" s="1" a="1"/>
  <c r="Q44" i="1" s="1" a="1"/>
  <c r="Q45" i="1" s="1" a="1"/>
  <c r="Q46" i="1" s="1" a="1"/>
  <c r="Q47" i="1" s="1" a="1"/>
  <c r="Q48" i="1" s="1" a="1"/>
  <c r="Q49" i="1" s="1" a="1"/>
  <c r="Q50" i="1" s="1" a="1"/>
  <c r="Q51" i="1" s="1" a="1"/>
  <c r="Q52" i="1" s="1" a="1"/>
  <c r="Q53" i="1" s="1" a="1"/>
  <c r="Q54" i="1" s="1" a="1"/>
  <c r="Q55" i="1" s="1" a="1"/>
  <c r="Q56" i="1" s="1" a="1"/>
  <c r="Q57" i="1" s="1" a="1"/>
  <c r="Q58" i="1" s="1" a="1"/>
  <c r="Q59" i="1" s="1" a="1"/>
  <c r="Q60" i="1" s="1" a="1"/>
  <c r="Q61" i="1" s="1" a="1"/>
  <c r="Q62" i="1" s="1" a="1"/>
  <c r="Q63" i="1" s="1" a="1"/>
  <c r="Q64" i="1" s="1" a="1"/>
  <c r="Q65" i="1" s="1" a="1"/>
  <c r="Q66" i="1" s="1" a="1"/>
  <c r="Q67" i="1" s="1" a="1"/>
  <c r="Q68" i="1" s="1" a="1"/>
  <c r="Q69" i="1" s="1" a="1"/>
  <c r="Q70" i="1" s="1" a="1"/>
  <c r="Q71" i="1" s="1" a="1"/>
  <c r="Q72" i="1" s="1" a="1"/>
  <c r="Q73" i="1" s="1" a="1"/>
  <c r="Q74" i="1" s="1" a="1"/>
  <c r="Q75" i="1" s="1" a="1"/>
  <c r="Q76" i="1" s="1" a="1"/>
  <c r="Q77" i="1" s="1" a="1"/>
  <c r="Q78" i="1" s="1" a="1"/>
  <c r="Q79" i="1" s="1" a="1"/>
  <c r="Q80" i="1" s="1" a="1"/>
  <c r="Q81" i="1" s="1" a="1"/>
  <c r="Q82" i="1" s="1" a="1"/>
  <c r="Q83" i="1" s="1" a="1"/>
  <c r="Q84" i="1" s="1" a="1"/>
  <c r="Q85" i="1" s="1" a="1"/>
  <c r="Q86" i="1" s="1" a="1"/>
  <c r="Q87" i="1" s="1" a="1"/>
  <c r="Q88" i="1" s="1" a="1"/>
  <c r="Q89" i="1" s="1" a="1"/>
  <c r="Q90" i="1" s="1" a="1"/>
  <c r="Q91" i="1" s="1" a="1"/>
  <c r="Q92" i="1" s="1" a="1"/>
  <c r="Q93" i="1" s="1" a="1"/>
  <c r="Q94" i="1" s="1" a="1"/>
  <c r="Q95" i="1" s="1" a="1"/>
  <c r="Q96" i="1" s="1" a="1"/>
  <c r="Q97" i="1" s="1" a="1"/>
  <c r="Q98" i="1" s="1" a="1"/>
  <c r="Q99" i="1" s="1" a="1"/>
  <c r="Q100" i="1" s="1" a="1"/>
  <c r="P2" i="1" a="1"/>
  <c r="P3" i="1" s="1" a="1"/>
  <c r="P4" i="1" s="1" a="1"/>
  <c r="P5" i="1" s="1" a="1"/>
  <c r="P6" i="1" s="1" a="1"/>
  <c r="P7" i="1" s="1" a="1"/>
  <c r="P8" i="1" s="1" a="1"/>
  <c r="P9" i="1" s="1" a="1"/>
  <c r="P10" i="1" s="1" a="1"/>
  <c r="P11" i="1" s="1" a="1"/>
  <c r="P12" i="1" s="1" a="1"/>
  <c r="P13" i="1" s="1" a="1"/>
  <c r="P14" i="1" s="1" a="1"/>
  <c r="P15" i="1" s="1" a="1"/>
  <c r="P16" i="1" s="1" a="1"/>
  <c r="P17" i="1" s="1" a="1"/>
  <c r="P18" i="1" s="1" a="1"/>
  <c r="P19" i="1" s="1" a="1"/>
  <c r="P20" i="1" s="1" a="1"/>
  <c r="P21" i="1" s="1" a="1"/>
  <c r="P22" i="1" s="1" a="1"/>
  <c r="P23" i="1" s="1" a="1"/>
  <c r="P24" i="1" s="1" a="1"/>
  <c r="P25" i="1" s="1" a="1"/>
  <c r="P26" i="1" s="1" a="1"/>
  <c r="P27" i="1" s="1" a="1"/>
  <c r="P28" i="1" s="1" a="1"/>
  <c r="P29" i="1" s="1" a="1"/>
  <c r="P30" i="1" s="1" a="1"/>
  <c r="P31" i="1" s="1" a="1"/>
  <c r="P32" i="1" s="1" a="1"/>
  <c r="P33" i="1" s="1" a="1"/>
  <c r="P34" i="1" s="1" a="1"/>
  <c r="P35" i="1" s="1" a="1"/>
  <c r="P36" i="1" s="1" a="1"/>
  <c r="P37" i="1" s="1" a="1"/>
  <c r="P38" i="1" s="1" a="1"/>
  <c r="P39" i="1" s="1" a="1"/>
  <c r="P40" i="1" s="1" a="1"/>
  <c r="P41" i="1" s="1" a="1"/>
  <c r="P42" i="1" s="1" a="1"/>
  <c r="P43" i="1" s="1" a="1"/>
  <c r="P44" i="1" s="1" a="1"/>
  <c r="P45" i="1" s="1" a="1"/>
  <c r="P46" i="1" s="1" a="1"/>
  <c r="P47" i="1" s="1" a="1"/>
  <c r="P48" i="1" s="1" a="1"/>
  <c r="P49" i="1" s="1" a="1"/>
  <c r="P50" i="1" s="1" a="1"/>
  <c r="P51" i="1" s="1" a="1"/>
  <c r="P52" i="1" s="1" a="1"/>
  <c r="P53" i="1" s="1" a="1"/>
  <c r="P54" i="1" s="1" a="1"/>
  <c r="P55" i="1" s="1" a="1"/>
  <c r="P56" i="1" s="1" a="1"/>
  <c r="P57" i="1" s="1" a="1"/>
  <c r="P58" i="1" s="1" a="1"/>
  <c r="P59" i="1" s="1" a="1"/>
  <c r="P60" i="1" s="1" a="1"/>
  <c r="P61" i="1" s="1" a="1"/>
  <c r="P62" i="1" s="1" a="1"/>
  <c r="P63" i="1" s="1" a="1"/>
  <c r="P64" i="1" s="1" a="1"/>
  <c r="P65" i="1" s="1" a="1"/>
  <c r="P66" i="1" s="1" a="1"/>
  <c r="P67" i="1" s="1" a="1"/>
  <c r="P68" i="1" s="1" a="1"/>
  <c r="P69" i="1" s="1" a="1"/>
  <c r="P70" i="1" s="1" a="1"/>
  <c r="P71" i="1" s="1" a="1"/>
  <c r="P72" i="1" s="1" a="1"/>
  <c r="P73" i="1" s="1" a="1"/>
  <c r="P74" i="1" s="1" a="1"/>
  <c r="P75" i="1" s="1" a="1"/>
  <c r="P76" i="1" s="1" a="1"/>
  <c r="P77" i="1" s="1" a="1"/>
  <c r="P78" i="1" s="1" a="1"/>
  <c r="P79" i="1" s="1" a="1"/>
  <c r="P80" i="1" s="1" a="1"/>
  <c r="P81" i="1" s="1" a="1"/>
  <c r="P82" i="1" s="1" a="1"/>
  <c r="P83" i="1" s="1" a="1"/>
  <c r="P84" i="1" s="1" a="1"/>
  <c r="P85" i="1" s="1" a="1"/>
  <c r="P86" i="1" s="1" a="1"/>
  <c r="P87" i="1" s="1" a="1"/>
  <c r="P88" i="1" s="1" a="1"/>
  <c r="P89" i="1" s="1" a="1"/>
  <c r="P90" i="1" s="1" a="1"/>
  <c r="P91" i="1" s="1" a="1"/>
  <c r="P92" i="1" s="1" a="1"/>
  <c r="P93" i="1" s="1" a="1"/>
  <c r="P94" i="1" s="1" a="1"/>
  <c r="P95" i="1" s="1" a="1"/>
  <c r="P96" i="1" s="1" a="1"/>
  <c r="P97" i="1" s="1" a="1"/>
  <c r="P98" i="1" s="1" a="1"/>
  <c r="P99" i="1" s="1" a="1"/>
  <c r="P100" i="1" s="1" a="1"/>
  <c r="O2" i="1" a="1"/>
  <c r="O3" i="1" s="1" a="1"/>
  <c r="O4" i="1" s="1" a="1"/>
  <c r="O5" i="1" s="1" a="1"/>
  <c r="O6" i="1" s="1" a="1"/>
  <c r="O7" i="1" s="1" a="1"/>
  <c r="O8" i="1" s="1" a="1"/>
  <c r="O9" i="1" s="1" a="1"/>
  <c r="O10" i="1" s="1" a="1"/>
  <c r="O11" i="1" s="1" a="1"/>
  <c r="O12" i="1" s="1" a="1"/>
  <c r="O13" i="1" s="1" a="1"/>
  <c r="O14" i="1" s="1" a="1"/>
  <c r="O15" i="1" s="1" a="1"/>
  <c r="O16" i="1" s="1" a="1"/>
  <c r="O17" i="1" s="1" a="1"/>
  <c r="O18" i="1" s="1" a="1"/>
  <c r="O19" i="1" s="1" a="1"/>
  <c r="O20" i="1" s="1" a="1"/>
  <c r="O21" i="1" s="1" a="1"/>
  <c r="O22" i="1" s="1" a="1"/>
  <c r="O23" i="1" s="1" a="1"/>
  <c r="O24" i="1" s="1" a="1"/>
  <c r="O25" i="1" s="1" a="1"/>
  <c r="O26" i="1" s="1" a="1"/>
  <c r="O27" i="1" s="1" a="1"/>
  <c r="O28" i="1" s="1" a="1"/>
  <c r="O29" i="1" s="1" a="1"/>
  <c r="O30" i="1" s="1" a="1"/>
  <c r="O31" i="1" s="1" a="1"/>
  <c r="O32" i="1" s="1" a="1"/>
  <c r="O33" i="1" s="1" a="1"/>
  <c r="O34" i="1" s="1" a="1"/>
  <c r="O35" i="1" s="1" a="1"/>
  <c r="O36" i="1" s="1" a="1"/>
  <c r="O37" i="1" s="1" a="1"/>
  <c r="O38" i="1" s="1" a="1"/>
  <c r="O39" i="1" s="1" a="1"/>
  <c r="O40" i="1" s="1" a="1"/>
  <c r="O41" i="1" s="1" a="1"/>
  <c r="O42" i="1" s="1" a="1"/>
  <c r="O43" i="1" s="1" a="1"/>
  <c r="O44" i="1" s="1" a="1"/>
  <c r="O45" i="1" s="1" a="1"/>
  <c r="O46" i="1" s="1" a="1"/>
  <c r="O47" i="1" s="1" a="1"/>
  <c r="O48" i="1" s="1" a="1"/>
  <c r="O49" i="1" s="1" a="1"/>
  <c r="O50" i="1" s="1" a="1"/>
  <c r="O51" i="1" s="1" a="1"/>
  <c r="O52" i="1" s="1" a="1"/>
  <c r="O53" i="1" s="1" a="1"/>
  <c r="O54" i="1" s="1" a="1"/>
  <c r="O55" i="1" s="1" a="1"/>
  <c r="O56" i="1" s="1" a="1"/>
  <c r="O57" i="1" s="1" a="1"/>
  <c r="O58" i="1" s="1" a="1"/>
  <c r="O59" i="1" s="1" a="1"/>
  <c r="O60" i="1" s="1" a="1"/>
  <c r="O61" i="1" s="1" a="1"/>
  <c r="O62" i="1" s="1" a="1"/>
  <c r="O63" i="1" s="1" a="1"/>
  <c r="O64" i="1" s="1" a="1"/>
  <c r="O65" i="1" s="1" a="1"/>
  <c r="O66" i="1" s="1" a="1"/>
  <c r="O67" i="1" s="1" a="1"/>
  <c r="O68" i="1" s="1" a="1"/>
  <c r="O69" i="1" s="1" a="1"/>
  <c r="O70" i="1" s="1" a="1"/>
  <c r="O71" i="1" s="1" a="1"/>
  <c r="O72" i="1" s="1" a="1"/>
  <c r="O73" i="1" s="1" a="1"/>
  <c r="O74" i="1" s="1" a="1"/>
  <c r="O75" i="1" s="1" a="1"/>
  <c r="O76" i="1" s="1" a="1"/>
  <c r="O77" i="1" s="1" a="1"/>
  <c r="O78" i="1" s="1" a="1"/>
  <c r="O79" i="1" s="1" a="1"/>
  <c r="O80" i="1" s="1" a="1"/>
  <c r="O81" i="1" s="1" a="1"/>
  <c r="O82" i="1" s="1" a="1"/>
  <c r="O83" i="1" s="1" a="1"/>
  <c r="O84" i="1" s="1" a="1"/>
  <c r="O85" i="1" s="1" a="1"/>
  <c r="O86" i="1" s="1" a="1"/>
  <c r="O87" i="1" s="1" a="1"/>
  <c r="O88" i="1" s="1" a="1"/>
  <c r="O89" i="1" s="1" a="1"/>
  <c r="O90" i="1" s="1" a="1"/>
  <c r="O91" i="1" s="1" a="1"/>
  <c r="O92" i="1" s="1" a="1"/>
  <c r="O93" i="1" s="1" a="1"/>
  <c r="O94" i="1" s="1" a="1"/>
  <c r="O95" i="1" s="1" a="1"/>
  <c r="O96" i="1" s="1" a="1"/>
  <c r="O97" i="1" s="1" a="1"/>
  <c r="O98" i="1" s="1" a="1"/>
  <c r="O99" i="1" s="1" a="1"/>
  <c r="O100" i="1" s="1" a="1"/>
  <c r="N2" i="1" a="1"/>
  <c r="N3" i="1" s="1" a="1"/>
  <c r="N4" i="1" s="1" a="1"/>
  <c r="N5" i="1" s="1" a="1"/>
  <c r="N6" i="1" s="1" a="1"/>
  <c r="N7" i="1" s="1" a="1"/>
  <c r="N8" i="1" s="1" a="1"/>
  <c r="N9" i="1" s="1" a="1"/>
  <c r="N10" i="1" s="1" a="1"/>
  <c r="N11" i="1" s="1" a="1"/>
  <c r="N12" i="1" s="1" a="1"/>
  <c r="N13" i="1" s="1" a="1"/>
  <c r="N14" i="1" s="1" a="1"/>
  <c r="N15" i="1" s="1" a="1"/>
  <c r="N16" i="1" s="1" a="1"/>
  <c r="N17" i="1" s="1" a="1"/>
  <c r="N18" i="1" s="1" a="1"/>
  <c r="N19" i="1" s="1" a="1"/>
  <c r="N20" i="1" s="1" a="1"/>
  <c r="N21" i="1" s="1" a="1"/>
  <c r="N22" i="1" s="1" a="1"/>
  <c r="N23" i="1" s="1" a="1"/>
  <c r="N24" i="1" s="1" a="1"/>
  <c r="N25" i="1" s="1" a="1"/>
  <c r="N26" i="1" s="1" a="1"/>
  <c r="N27" i="1" s="1" a="1"/>
  <c r="N28" i="1" s="1" a="1"/>
  <c r="N29" i="1" s="1" a="1"/>
  <c r="N30" i="1" s="1" a="1"/>
  <c r="N31" i="1" s="1" a="1"/>
  <c r="N32" i="1" s="1" a="1"/>
  <c r="N33" i="1" s="1" a="1"/>
  <c r="N34" i="1" s="1" a="1"/>
  <c r="N35" i="1" s="1" a="1"/>
  <c r="N36" i="1" s="1" a="1"/>
  <c r="N37" i="1" s="1" a="1"/>
  <c r="N38" i="1" s="1" a="1"/>
  <c r="N39" i="1" s="1" a="1"/>
  <c r="N40" i="1" s="1" a="1"/>
  <c r="N41" i="1" s="1" a="1"/>
  <c r="N42" i="1" s="1" a="1"/>
  <c r="N43" i="1" s="1" a="1"/>
  <c r="N44" i="1" s="1" a="1"/>
  <c r="N45" i="1" s="1" a="1"/>
  <c r="N46" i="1" s="1" a="1"/>
  <c r="N47" i="1" s="1" a="1"/>
  <c r="N48" i="1" s="1" a="1"/>
  <c r="N49" i="1" s="1" a="1"/>
  <c r="N50" i="1" s="1" a="1"/>
  <c r="N51" i="1" s="1" a="1"/>
  <c r="N52" i="1" s="1" a="1"/>
  <c r="N53" i="1" s="1" a="1"/>
  <c r="N54" i="1" s="1" a="1"/>
  <c r="N55" i="1" s="1" a="1"/>
  <c r="N56" i="1" s="1" a="1"/>
  <c r="N57" i="1" s="1" a="1"/>
  <c r="N58" i="1" s="1" a="1"/>
  <c r="N59" i="1" s="1" a="1"/>
  <c r="N60" i="1" s="1" a="1"/>
  <c r="N61" i="1" s="1" a="1"/>
  <c r="N62" i="1" s="1" a="1"/>
  <c r="N63" i="1" s="1" a="1"/>
  <c r="N64" i="1" s="1" a="1"/>
  <c r="N65" i="1" s="1" a="1"/>
  <c r="N66" i="1" s="1" a="1"/>
  <c r="N67" i="1" s="1" a="1"/>
  <c r="N68" i="1" s="1" a="1"/>
  <c r="N69" i="1" s="1" a="1"/>
  <c r="N70" i="1" s="1" a="1"/>
  <c r="N71" i="1" s="1" a="1"/>
  <c r="N72" i="1" s="1" a="1"/>
  <c r="N73" i="1" s="1" a="1"/>
  <c r="N74" i="1" s="1" a="1"/>
  <c r="N75" i="1" s="1" a="1"/>
  <c r="N76" i="1" s="1" a="1"/>
  <c r="N77" i="1" s="1" a="1"/>
  <c r="N78" i="1" s="1" a="1"/>
  <c r="N79" i="1" s="1" a="1"/>
  <c r="N80" i="1" s="1" a="1"/>
  <c r="N81" i="1" s="1" a="1"/>
  <c r="N82" i="1" s="1" a="1"/>
  <c r="N83" i="1" s="1" a="1"/>
  <c r="N84" i="1" s="1" a="1"/>
  <c r="N85" i="1" s="1" a="1"/>
  <c r="N86" i="1" s="1" a="1"/>
  <c r="N87" i="1" s="1" a="1"/>
  <c r="N88" i="1" s="1" a="1"/>
  <c r="N89" i="1" s="1" a="1"/>
  <c r="N90" i="1" s="1" a="1"/>
  <c r="N91" i="1" s="1" a="1"/>
  <c r="N92" i="1" s="1" a="1"/>
  <c r="N93" i="1" s="1" a="1"/>
  <c r="N94" i="1" s="1" a="1"/>
  <c r="N95" i="1" s="1" a="1"/>
  <c r="N96" i="1" s="1" a="1"/>
  <c r="N97" i="1" s="1" a="1"/>
  <c r="N98" i="1" s="1" a="1"/>
  <c r="N99" i="1" s="1" a="1"/>
  <c r="N100" i="1" s="1" a="1"/>
  <c r="M2" i="1" a="1"/>
  <c r="M3" i="1" s="1" a="1"/>
  <c r="M4" i="1" s="1" a="1"/>
  <c r="M5" i="1" s="1" a="1"/>
  <c r="M6" i="1" s="1" a="1"/>
  <c r="M7" i="1" s="1" a="1"/>
  <c r="M8" i="1" s="1" a="1"/>
  <c r="M9" i="1" s="1" a="1"/>
  <c r="M10" i="1" s="1" a="1"/>
  <c r="M11" i="1" s="1" a="1"/>
  <c r="M12" i="1" s="1" a="1"/>
  <c r="M13" i="1" s="1" a="1"/>
  <c r="M14" i="1" s="1" a="1"/>
  <c r="M15" i="1" s="1" a="1"/>
  <c r="M16" i="1" s="1" a="1"/>
  <c r="M17" i="1" s="1" a="1"/>
  <c r="M18" i="1" s="1" a="1"/>
  <c r="M19" i="1" s="1" a="1"/>
  <c r="M20" i="1" s="1" a="1"/>
  <c r="M21" i="1" s="1" a="1"/>
  <c r="M22" i="1" s="1" a="1"/>
  <c r="M23" i="1" s="1" a="1"/>
  <c r="M24" i="1" s="1" a="1"/>
  <c r="M25" i="1" s="1" a="1"/>
  <c r="M26" i="1" s="1" a="1"/>
  <c r="M27" i="1" s="1" a="1"/>
  <c r="M28" i="1" s="1" a="1"/>
  <c r="M29" i="1" s="1" a="1"/>
  <c r="M30" i="1" s="1" a="1"/>
  <c r="M31" i="1" s="1" a="1"/>
  <c r="M32" i="1" s="1" a="1"/>
  <c r="M33" i="1" s="1" a="1"/>
  <c r="M34" i="1" s="1" a="1"/>
  <c r="M35" i="1" s="1" a="1"/>
  <c r="M36" i="1" s="1" a="1"/>
  <c r="M37" i="1" s="1" a="1"/>
  <c r="M38" i="1" s="1" a="1"/>
  <c r="M39" i="1" s="1" a="1"/>
  <c r="M40" i="1" s="1" a="1"/>
  <c r="M41" i="1" s="1" a="1"/>
  <c r="M42" i="1" s="1" a="1"/>
  <c r="M43" i="1" s="1" a="1"/>
  <c r="M44" i="1" s="1" a="1"/>
  <c r="M45" i="1" s="1" a="1"/>
  <c r="M46" i="1" s="1" a="1"/>
  <c r="M47" i="1" s="1" a="1"/>
  <c r="M48" i="1" s="1" a="1"/>
  <c r="M49" i="1" s="1" a="1"/>
  <c r="M50" i="1" s="1" a="1"/>
  <c r="M51" i="1" s="1" a="1"/>
  <c r="M52" i="1" s="1" a="1"/>
  <c r="M53" i="1" s="1" a="1"/>
  <c r="M54" i="1" s="1" a="1"/>
  <c r="M55" i="1" s="1" a="1"/>
  <c r="M56" i="1" s="1" a="1"/>
  <c r="M57" i="1" s="1" a="1"/>
  <c r="M58" i="1" s="1" a="1"/>
  <c r="M59" i="1" s="1" a="1"/>
  <c r="M60" i="1" s="1" a="1"/>
  <c r="M61" i="1" s="1" a="1"/>
  <c r="M62" i="1" s="1" a="1"/>
  <c r="M63" i="1" s="1" a="1"/>
  <c r="M64" i="1" s="1" a="1"/>
  <c r="M65" i="1" s="1" a="1"/>
  <c r="M66" i="1" s="1" a="1"/>
  <c r="M67" i="1" s="1" a="1"/>
  <c r="M68" i="1" s="1" a="1"/>
  <c r="M69" i="1" s="1" a="1"/>
  <c r="M70" i="1" s="1" a="1"/>
  <c r="M71" i="1" s="1" a="1"/>
  <c r="M72" i="1" s="1" a="1"/>
  <c r="M73" i="1" s="1" a="1"/>
  <c r="M74" i="1" s="1" a="1"/>
  <c r="M75" i="1" s="1" a="1"/>
  <c r="M76" i="1" s="1" a="1"/>
  <c r="M77" i="1" s="1" a="1"/>
  <c r="M78" i="1" s="1" a="1"/>
  <c r="M79" i="1" s="1" a="1"/>
  <c r="M80" i="1" s="1" a="1"/>
  <c r="M81" i="1" s="1" a="1"/>
  <c r="M82" i="1" s="1" a="1"/>
  <c r="M83" i="1" s="1" a="1"/>
  <c r="M84" i="1" s="1" a="1"/>
  <c r="M85" i="1" s="1" a="1"/>
  <c r="M86" i="1" s="1" a="1"/>
  <c r="M87" i="1" s="1" a="1"/>
  <c r="M88" i="1" s="1" a="1"/>
  <c r="M89" i="1" s="1" a="1"/>
  <c r="M90" i="1" s="1" a="1"/>
  <c r="M91" i="1" s="1" a="1"/>
  <c r="M92" i="1" s="1" a="1"/>
  <c r="M93" i="1" s="1" a="1"/>
  <c r="M94" i="1" s="1" a="1"/>
  <c r="M95" i="1" s="1" a="1"/>
  <c r="M96" i="1" s="1" a="1"/>
  <c r="M97" i="1" s="1" a="1"/>
  <c r="M98" i="1" s="1" a="1"/>
  <c r="M99" i="1" s="1" a="1"/>
  <c r="M100" i="1" s="1" a="1"/>
  <c r="L2" i="1" a="1"/>
  <c r="L3" i="1" s="1" a="1"/>
  <c r="L4" i="1" s="1" a="1"/>
  <c r="L5" i="1" s="1" a="1"/>
  <c r="L6" i="1" s="1" a="1"/>
  <c r="L7" i="1" s="1" a="1"/>
  <c r="L8" i="1" s="1" a="1"/>
  <c r="L9" i="1" s="1" a="1"/>
  <c r="L10" i="1" s="1" a="1"/>
  <c r="L11" i="1" s="1" a="1"/>
  <c r="L12" i="1" s="1" a="1"/>
  <c r="L13" i="1" s="1" a="1"/>
  <c r="L14" i="1" s="1" a="1"/>
  <c r="L15" i="1" s="1" a="1"/>
  <c r="L16" i="1" s="1" a="1"/>
  <c r="L17" i="1" s="1" a="1"/>
  <c r="L18" i="1" s="1" a="1"/>
  <c r="L19" i="1" s="1" a="1"/>
  <c r="L20" i="1" s="1" a="1"/>
  <c r="L21" i="1" s="1" a="1"/>
  <c r="L22" i="1" s="1" a="1"/>
  <c r="L23" i="1" s="1" a="1"/>
  <c r="L24" i="1" s="1" a="1"/>
  <c r="L25" i="1" s="1" a="1"/>
  <c r="L26" i="1" s="1" a="1"/>
  <c r="L27" i="1" s="1" a="1"/>
  <c r="L28" i="1" s="1" a="1"/>
  <c r="L29" i="1" s="1" a="1"/>
  <c r="L30" i="1" s="1" a="1"/>
  <c r="L31" i="1" s="1" a="1"/>
  <c r="L32" i="1" s="1" a="1"/>
  <c r="L33" i="1" s="1" a="1"/>
  <c r="L34" i="1" s="1" a="1"/>
  <c r="L35" i="1" s="1" a="1"/>
  <c r="L36" i="1" s="1" a="1"/>
  <c r="L37" i="1" s="1" a="1"/>
  <c r="L38" i="1" s="1" a="1"/>
  <c r="L39" i="1" s="1" a="1"/>
  <c r="L40" i="1" s="1" a="1"/>
  <c r="L41" i="1" s="1" a="1"/>
  <c r="L42" i="1" s="1" a="1"/>
  <c r="L43" i="1" s="1" a="1"/>
  <c r="L44" i="1" s="1" a="1"/>
  <c r="L45" i="1" s="1" a="1"/>
  <c r="L46" i="1" s="1" a="1"/>
  <c r="L47" i="1" s="1" a="1"/>
  <c r="L48" i="1" s="1" a="1"/>
  <c r="L49" i="1" s="1" a="1"/>
  <c r="L50" i="1" s="1" a="1"/>
  <c r="L51" i="1" s="1" a="1"/>
  <c r="L52" i="1" s="1" a="1"/>
  <c r="L53" i="1" s="1" a="1"/>
  <c r="L54" i="1" s="1" a="1"/>
  <c r="L55" i="1" s="1" a="1"/>
  <c r="L56" i="1" s="1" a="1"/>
  <c r="L57" i="1" s="1" a="1"/>
  <c r="L58" i="1" s="1" a="1"/>
  <c r="L59" i="1" s="1" a="1"/>
  <c r="L60" i="1" s="1" a="1"/>
  <c r="L61" i="1" s="1" a="1"/>
  <c r="L62" i="1" s="1" a="1"/>
  <c r="L63" i="1" s="1" a="1"/>
  <c r="L64" i="1" s="1" a="1"/>
  <c r="L65" i="1" s="1" a="1"/>
  <c r="L66" i="1" s="1" a="1"/>
  <c r="L67" i="1" s="1" a="1"/>
  <c r="L68" i="1" s="1" a="1"/>
  <c r="L69" i="1" s="1" a="1"/>
  <c r="L70" i="1" s="1" a="1"/>
  <c r="L71" i="1" s="1" a="1"/>
  <c r="L72" i="1" s="1" a="1"/>
  <c r="L73" i="1" s="1" a="1"/>
  <c r="L74" i="1" s="1" a="1"/>
  <c r="L75" i="1" s="1" a="1"/>
  <c r="L76" i="1" s="1" a="1"/>
  <c r="L77" i="1" s="1" a="1"/>
  <c r="L78" i="1" s="1" a="1"/>
  <c r="L79" i="1" s="1" a="1"/>
  <c r="L80" i="1" s="1" a="1"/>
  <c r="L81" i="1" s="1" a="1"/>
  <c r="L82" i="1" s="1" a="1"/>
  <c r="L83" i="1" s="1" a="1"/>
  <c r="L84" i="1" s="1" a="1"/>
  <c r="L85" i="1" s="1" a="1"/>
  <c r="L86" i="1" s="1" a="1"/>
  <c r="L87" i="1" s="1" a="1"/>
  <c r="L88" i="1" s="1" a="1"/>
  <c r="L89" i="1" s="1" a="1"/>
  <c r="L90" i="1" s="1" a="1"/>
  <c r="L91" i="1" s="1" a="1"/>
  <c r="L92" i="1" s="1" a="1"/>
  <c r="L93" i="1" s="1" a="1"/>
  <c r="L94" i="1" s="1" a="1"/>
  <c r="L95" i="1" s="1" a="1"/>
  <c r="L96" i="1" s="1" a="1"/>
  <c r="L97" i="1" s="1" a="1"/>
  <c r="L98" i="1" s="1" a="1"/>
  <c r="L99" i="1" s="1" a="1"/>
  <c r="L100" i="1" s="1" a="1"/>
  <c r="K2" i="1" a="1"/>
  <c r="K3" i="1" s="1" a="1"/>
  <c r="J2" i="1" a="1"/>
  <c r="J3" i="1" s="1" a="1"/>
  <c r="J4" i="1" s="1" a="1"/>
  <c r="J5" i="1" s="1" a="1"/>
  <c r="J6" i="1" s="1" a="1"/>
  <c r="J7" i="1" s="1" a="1"/>
  <c r="J8" i="1" s="1" a="1"/>
  <c r="J9" i="1" s="1" a="1"/>
  <c r="J10" i="1" s="1" a="1"/>
  <c r="J11" i="1" s="1" a="1"/>
  <c r="J12" i="1" s="1" a="1"/>
  <c r="J13" i="1" s="1" a="1"/>
  <c r="J14" i="1" s="1" a="1"/>
  <c r="J15" i="1" s="1" a="1"/>
  <c r="J16" i="1" s="1" a="1"/>
  <c r="J17" i="1" s="1" a="1"/>
  <c r="J18" i="1" s="1" a="1"/>
  <c r="J19" i="1" s="1" a="1"/>
  <c r="J20" i="1" s="1" a="1"/>
  <c r="J21" i="1" s="1" a="1"/>
  <c r="J22" i="1" s="1" a="1"/>
  <c r="J23" i="1" s="1" a="1"/>
  <c r="J24" i="1" s="1" a="1"/>
  <c r="J25" i="1" s="1" a="1"/>
  <c r="J26" i="1" s="1" a="1"/>
  <c r="J27" i="1" s="1" a="1"/>
  <c r="J28" i="1" s="1" a="1"/>
  <c r="J29" i="1" s="1" a="1"/>
  <c r="J30" i="1" s="1" a="1"/>
  <c r="J31" i="1" s="1" a="1"/>
  <c r="J32" i="1" s="1" a="1"/>
  <c r="J33" i="1" s="1" a="1"/>
  <c r="J34" i="1" s="1" a="1"/>
  <c r="J35" i="1" s="1" a="1"/>
  <c r="J36" i="1" s="1" a="1"/>
  <c r="J37" i="1" s="1" a="1"/>
  <c r="J38" i="1" s="1" a="1"/>
  <c r="J39" i="1" s="1" a="1"/>
  <c r="J40" i="1" s="1" a="1"/>
  <c r="J41" i="1" s="1" a="1"/>
  <c r="J42" i="1" s="1" a="1"/>
  <c r="J43" i="1" s="1" a="1"/>
  <c r="J44" i="1" s="1" a="1"/>
  <c r="J45" i="1" s="1" a="1"/>
  <c r="J46" i="1" s="1" a="1"/>
  <c r="J47" i="1" s="1" a="1"/>
  <c r="J48" i="1" s="1" a="1"/>
  <c r="J49" i="1" s="1" a="1"/>
  <c r="J50" i="1" s="1" a="1"/>
  <c r="J51" i="1" s="1" a="1"/>
  <c r="J52" i="1" s="1" a="1"/>
  <c r="J53" i="1" s="1" a="1"/>
  <c r="J54" i="1" s="1" a="1"/>
  <c r="J55" i="1" s="1" a="1"/>
  <c r="J56" i="1" s="1" a="1"/>
  <c r="J57" i="1" s="1" a="1"/>
  <c r="J58" i="1" s="1" a="1"/>
  <c r="J59" i="1" s="1" a="1"/>
  <c r="J60" i="1" s="1" a="1"/>
  <c r="J61" i="1" s="1" a="1"/>
  <c r="J62" i="1" s="1" a="1"/>
  <c r="J63" i="1" s="1" a="1"/>
  <c r="J64" i="1" s="1" a="1"/>
  <c r="J65" i="1" s="1" a="1"/>
  <c r="J66" i="1" s="1" a="1"/>
  <c r="J67" i="1" s="1" a="1"/>
  <c r="J68" i="1" s="1" a="1"/>
  <c r="J69" i="1" s="1" a="1"/>
  <c r="J70" i="1" s="1" a="1"/>
  <c r="J71" i="1" s="1" a="1"/>
  <c r="J72" i="1" s="1" a="1"/>
  <c r="J73" i="1" s="1" a="1"/>
  <c r="J74" i="1" s="1" a="1"/>
  <c r="J75" i="1" s="1" a="1"/>
  <c r="J76" i="1" s="1" a="1"/>
  <c r="J77" i="1" s="1" a="1"/>
  <c r="J78" i="1" s="1" a="1"/>
  <c r="J79" i="1" s="1" a="1"/>
  <c r="J80" i="1" s="1" a="1"/>
  <c r="J81" i="1" s="1" a="1"/>
  <c r="J82" i="1" s="1" a="1"/>
  <c r="J83" i="1" s="1" a="1"/>
  <c r="J84" i="1" s="1" a="1"/>
  <c r="J85" i="1" s="1" a="1"/>
  <c r="J86" i="1" s="1" a="1"/>
  <c r="J87" i="1" s="1" a="1"/>
  <c r="J88" i="1" s="1" a="1"/>
  <c r="J89" i="1" s="1" a="1"/>
  <c r="J90" i="1" s="1" a="1"/>
  <c r="J91" i="1" s="1" a="1"/>
  <c r="J92" i="1" s="1" a="1"/>
  <c r="J93" i="1" s="1" a="1"/>
  <c r="J94" i="1" s="1" a="1"/>
  <c r="J95" i="1" s="1" a="1"/>
  <c r="J96" i="1" s="1" a="1"/>
  <c r="J97" i="1" s="1" a="1"/>
  <c r="J98" i="1" s="1" a="1"/>
  <c r="J99" i="1" s="1" a="1"/>
  <c r="J100" i="1" s="1" a="1"/>
  <c r="I2" i="1" a="1"/>
  <c r="I3" i="1" s="1" a="1"/>
  <c r="I4" i="1" s="1" a="1"/>
  <c r="I5" i="1" s="1" a="1"/>
  <c r="I6" i="1" s="1" a="1"/>
  <c r="I7" i="1" s="1" a="1"/>
  <c r="I8" i="1" s="1" a="1"/>
  <c r="I9" i="1" s="1" a="1"/>
  <c r="I10" i="1" s="1" a="1"/>
  <c r="I11" i="1" s="1" a="1"/>
  <c r="I12" i="1" s="1" a="1"/>
  <c r="I13" i="1" s="1" a="1"/>
  <c r="I14" i="1" s="1" a="1"/>
  <c r="I15" i="1" s="1" a="1"/>
  <c r="I16" i="1" s="1" a="1"/>
  <c r="I17" i="1" s="1" a="1"/>
  <c r="I18" i="1" s="1" a="1"/>
  <c r="I19" i="1" s="1" a="1"/>
  <c r="I20" i="1" s="1" a="1"/>
  <c r="I21" i="1" s="1" a="1"/>
  <c r="I22" i="1" s="1" a="1"/>
  <c r="I23" i="1" s="1" a="1"/>
  <c r="I24" i="1" s="1" a="1"/>
  <c r="I25" i="1" s="1" a="1"/>
  <c r="I26" i="1" s="1" a="1"/>
  <c r="I27" i="1" s="1" a="1"/>
  <c r="I28" i="1" s="1" a="1"/>
  <c r="I29" i="1" s="1" a="1"/>
  <c r="I30" i="1" s="1" a="1"/>
  <c r="I31" i="1" s="1" a="1"/>
  <c r="I32" i="1" s="1" a="1"/>
  <c r="I33" i="1" s="1" a="1"/>
  <c r="I34" i="1" s="1" a="1"/>
  <c r="I35" i="1" s="1" a="1"/>
  <c r="I36" i="1" s="1" a="1"/>
  <c r="I37" i="1" s="1" a="1"/>
  <c r="I38" i="1" s="1" a="1"/>
  <c r="I39" i="1" s="1" a="1"/>
  <c r="I40" i="1" s="1" a="1"/>
  <c r="I41" i="1" s="1" a="1"/>
  <c r="I42" i="1" s="1" a="1"/>
  <c r="I43" i="1" s="1" a="1"/>
  <c r="I44" i="1" s="1" a="1"/>
  <c r="I45" i="1" s="1" a="1"/>
  <c r="I46" i="1" s="1" a="1"/>
  <c r="I47" i="1" s="1" a="1"/>
  <c r="I48" i="1" s="1" a="1"/>
  <c r="I49" i="1" s="1" a="1"/>
  <c r="I50" i="1" s="1" a="1"/>
  <c r="I51" i="1" s="1" a="1"/>
  <c r="I52" i="1" s="1" a="1"/>
  <c r="I53" i="1" s="1" a="1"/>
  <c r="I54" i="1" s="1" a="1"/>
  <c r="I55" i="1" s="1" a="1"/>
  <c r="I56" i="1" s="1" a="1"/>
  <c r="I57" i="1" s="1" a="1"/>
  <c r="I58" i="1" s="1" a="1"/>
  <c r="I59" i="1" s="1" a="1"/>
  <c r="I60" i="1" s="1" a="1"/>
  <c r="I61" i="1" s="1" a="1"/>
  <c r="I62" i="1" s="1" a="1"/>
  <c r="I63" i="1" s="1" a="1"/>
  <c r="I64" i="1" s="1" a="1"/>
  <c r="I65" i="1" s="1" a="1"/>
  <c r="I66" i="1" s="1" a="1"/>
  <c r="I67" i="1" s="1" a="1"/>
  <c r="I68" i="1" s="1" a="1"/>
  <c r="I69" i="1" s="1" a="1"/>
  <c r="I70" i="1" s="1" a="1"/>
  <c r="I71" i="1" s="1" a="1"/>
  <c r="I72" i="1" s="1" a="1"/>
  <c r="I73" i="1" s="1" a="1"/>
  <c r="I74" i="1" s="1" a="1"/>
  <c r="I75" i="1" s="1" a="1"/>
  <c r="I76" i="1" s="1" a="1"/>
  <c r="I77" i="1" s="1" a="1"/>
  <c r="I78" i="1" s="1" a="1"/>
  <c r="I79" i="1" s="1" a="1"/>
  <c r="I80" i="1" s="1" a="1"/>
  <c r="I81" i="1" s="1" a="1"/>
  <c r="I82" i="1" s="1" a="1"/>
  <c r="I83" i="1" s="1" a="1"/>
  <c r="I84" i="1" s="1" a="1"/>
  <c r="I85" i="1" s="1" a="1"/>
  <c r="I86" i="1" s="1" a="1"/>
  <c r="I87" i="1" s="1" a="1"/>
  <c r="I88" i="1" s="1" a="1"/>
  <c r="I89" i="1" s="1" a="1"/>
  <c r="I90" i="1" s="1" a="1"/>
  <c r="I91" i="1" s="1" a="1"/>
  <c r="I92" i="1" s="1" a="1"/>
  <c r="I93" i="1" s="1" a="1"/>
  <c r="I94" i="1" s="1" a="1"/>
  <c r="I95" i="1" s="1" a="1"/>
  <c r="I96" i="1" s="1" a="1"/>
  <c r="I97" i="1" s="1" a="1"/>
  <c r="I98" i="1" s="1" a="1"/>
  <c r="I99" i="1" s="1" a="1"/>
  <c r="I100" i="1" s="1" a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2" i="1"/>
  <c r="K4" i="1" l="1" a="1"/>
  <c r="K5" i="1" s="1" a="1"/>
  <c r="K6" i="1" s="1" a="1"/>
  <c r="K7" i="1" s="1" a="1"/>
  <c r="K8" i="1" s="1" a="1"/>
  <c r="K9" i="1" s="1" a="1"/>
  <c r="K10" i="1" s="1" a="1"/>
  <c r="K11" i="1" s="1" a="1"/>
  <c r="K12" i="1" s="1" a="1"/>
  <c r="K13" i="1" l="1" a="1"/>
  <c r="K14" i="1" s="1" a="1"/>
  <c r="K15" i="1" s="1" a="1"/>
  <c r="K16" i="1" s="1" a="1"/>
  <c r="K17" i="1" s="1" a="1"/>
  <c r="K18" i="1" s="1" a="1"/>
  <c r="K19" i="1" s="1" a="1"/>
  <c r="K20" i="1" s="1" a="1"/>
  <c r="K21" i="1" s="1" a="1"/>
  <c r="K22" i="1" s="1" a="1"/>
  <c r="K23" i="1" s="1" a="1"/>
  <c r="K24" i="1" l="1" a="1"/>
  <c r="K25" i="1" s="1" a="1"/>
  <c r="K26" i="1" s="1" a="1"/>
  <c r="K27" i="1" s="1" a="1"/>
  <c r="K28" i="1" s="1" a="1"/>
  <c r="K29" i="1" s="1" a="1"/>
  <c r="K30" i="1" s="1" a="1"/>
  <c r="K31" i="1" l="1" a="1"/>
  <c r="K32" i="1" l="1" a="1"/>
  <c r="K33" i="1" l="1" a="1"/>
  <c r="K34" i="1" l="1" a="1"/>
  <c r="K35" i="1" l="1" a="1"/>
  <c r="K36" i="1" l="1" a="1"/>
  <c r="K37" i="1" l="1" a="1"/>
  <c r="K38" i="1" l="1" a="1"/>
  <c r="K39" i="1" l="1" a="1"/>
  <c r="K40" i="1" l="1" a="1"/>
  <c r="K41" i="1" l="1" a="1"/>
  <c r="K42" i="1" l="1" a="1"/>
  <c r="K43" i="1" l="1" a="1"/>
  <c r="K44" i="1" l="1" a="1"/>
  <c r="K45" i="1" l="1" a="1"/>
  <c r="K46" i="1" l="1" a="1"/>
  <c r="K47" i="1" l="1" a="1"/>
  <c r="K48" i="1" l="1" a="1"/>
  <c r="K49" i="1" l="1" a="1"/>
  <c r="K50" i="1" l="1" a="1"/>
  <c r="K51" i="1" l="1" a="1"/>
  <c r="K52" i="1" l="1" a="1"/>
  <c r="K53" i="1" l="1" a="1"/>
  <c r="K54" i="1" l="1" a="1"/>
  <c r="K55" i="1" l="1" a="1"/>
  <c r="K56" i="1" l="1" a="1"/>
  <c r="K57" i="1" l="1" a="1"/>
  <c r="K58" i="1" l="1" a="1"/>
  <c r="K59" i="1" l="1" a="1"/>
  <c r="K60" i="1" l="1" a="1"/>
  <c r="K61" i="1" l="1" a="1"/>
  <c r="K62" i="1" l="1" a="1"/>
  <c r="K63" i="1" l="1" a="1"/>
  <c r="K64" i="1" l="1" a="1"/>
  <c r="K65" i="1" l="1" a="1"/>
  <c r="K66" i="1" l="1" a="1"/>
  <c r="K67" i="1" l="1" a="1"/>
  <c r="K68" i="1" l="1" a="1"/>
  <c r="K69" i="1" l="1" a="1"/>
  <c r="K70" i="1" l="1" a="1"/>
  <c r="K71" i="1" l="1" a="1"/>
  <c r="K72" i="1" l="1" a="1"/>
  <c r="K73" i="1" l="1" a="1"/>
  <c r="K74" i="1" l="1" a="1"/>
  <c r="K75" i="1" l="1" a="1"/>
  <c r="K76" i="1" l="1" a="1"/>
  <c r="K77" i="1" l="1" a="1"/>
  <c r="K78" i="1" l="1" a="1"/>
  <c r="K79" i="1" l="1" a="1"/>
  <c r="K80" i="1" l="1" a="1"/>
  <c r="K81" i="1" l="1" a="1"/>
  <c r="K82" i="1" l="1" a="1"/>
  <c r="K83" i="1" l="1" a="1"/>
  <c r="K84" i="1" l="1" a="1"/>
  <c r="K85" i="1" l="1" a="1"/>
  <c r="K86" i="1" l="1" a="1"/>
  <c r="K87" i="1" l="1" a="1"/>
  <c r="K88" i="1" l="1" a="1"/>
  <c r="K89" i="1" l="1" a="1"/>
  <c r="K90" i="1" l="1" a="1"/>
  <c r="K91" i="1" l="1" a="1"/>
  <c r="K92" i="1" l="1" a="1"/>
  <c r="K93" i="1" l="1" a="1"/>
  <c r="K94" i="1" l="1" a="1"/>
  <c r="K95" i="1" l="1" a="1"/>
  <c r="K96" i="1" l="1" a="1"/>
  <c r="K97" i="1" l="1" a="1"/>
  <c r="K98" i="1" l="1" a="1"/>
  <c r="K99" i="1" l="1" a="1"/>
  <c r="K100" i="1" l="1" a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F28" i="1"/>
  <c r="F29" i="1"/>
  <c r="F30" i="1"/>
  <c r="F31" i="1"/>
  <c r="F32" i="1"/>
  <c r="F34" i="1"/>
  <c r="F35" i="1"/>
  <c r="F4" i="1"/>
  <c r="F5" i="1"/>
  <c r="F37" i="1"/>
  <c r="F3" i="1"/>
  <c r="F43" i="1"/>
  <c r="F6" i="1"/>
  <c r="F38" i="1"/>
  <c r="F42" i="1"/>
  <c r="F12" i="1"/>
  <c r="F7" i="1"/>
  <c r="F39" i="1"/>
  <c r="F41" i="1"/>
  <c r="F10" i="1"/>
  <c r="F44" i="1"/>
  <c r="F36" i="1"/>
  <c r="F8" i="1"/>
  <c r="F40" i="1"/>
  <c r="F9" i="1"/>
  <c r="F13" i="1"/>
  <c r="F45" i="1"/>
  <c r="F14" i="1"/>
  <c r="F46" i="1"/>
  <c r="F15" i="1"/>
  <c r="F47" i="1"/>
  <c r="F16" i="1"/>
  <c r="F17" i="1"/>
  <c r="F18" i="1"/>
  <c r="F19" i="1"/>
  <c r="F20" i="1"/>
  <c r="F21" i="1"/>
  <c r="F22" i="1"/>
  <c r="F23" i="1"/>
  <c r="F24" i="1"/>
  <c r="F25" i="1"/>
  <c r="F26" i="1"/>
  <c r="F27" i="1"/>
  <c r="F11" i="1"/>
  <c r="F33" i="1"/>
  <c r="E26" i="1"/>
  <c r="E27" i="1"/>
  <c r="E28" i="1"/>
  <c r="E29" i="1"/>
  <c r="E34" i="1"/>
  <c r="E35" i="1"/>
  <c r="E8" i="1"/>
  <c r="E4" i="1"/>
  <c r="E36" i="1"/>
  <c r="E39" i="1"/>
  <c r="E41" i="1"/>
  <c r="E42" i="1"/>
  <c r="E5" i="1"/>
  <c r="E37" i="1"/>
  <c r="E3" i="1"/>
  <c r="E7" i="1"/>
  <c r="E33" i="1"/>
  <c r="E6" i="1"/>
  <c r="E38" i="1"/>
  <c r="E40" i="1"/>
  <c r="E9" i="1"/>
  <c r="E10" i="1"/>
  <c r="E43" i="1"/>
  <c r="E30" i="1"/>
  <c r="E31" i="1"/>
  <c r="E32" i="1"/>
  <c r="E12" i="1"/>
  <c r="E44" i="1"/>
  <c r="E13" i="1"/>
  <c r="E45" i="1"/>
  <c r="E14" i="1"/>
  <c r="E46" i="1"/>
  <c r="E15" i="1"/>
  <c r="E47" i="1"/>
  <c r="E16" i="1"/>
  <c r="E17" i="1"/>
  <c r="E18" i="1"/>
  <c r="E19" i="1"/>
  <c r="E20" i="1"/>
  <c r="E21" i="1"/>
  <c r="E22" i="1"/>
  <c r="E23" i="1"/>
  <c r="E24" i="1"/>
  <c r="E11" i="1"/>
  <c r="E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<sst xmlns="http://schemas.openxmlformats.org/spreadsheetml/2006/main" count="23" uniqueCount="23">
  <si>
    <t>FirstName</t>
  </si>
  <si>
    <t>LastName</t>
  </si>
  <si>
    <t>PrimaryEmail</t>
  </si>
  <si>
    <t>ExternalDataReference</t>
  </si>
  <si>
    <t>Class</t>
  </si>
  <si>
    <t>Section</t>
  </si>
  <si>
    <t>Team</t>
  </si>
  <si>
    <t>Number on Team</t>
  </si>
  <si>
    <t>Team Member 1</t>
  </si>
  <si>
    <t>Team Member 2</t>
  </si>
  <si>
    <t>Team Member 3</t>
  </si>
  <si>
    <t>Team Member 4</t>
  </si>
  <si>
    <t>Team Member 5</t>
  </si>
  <si>
    <t>Team Member 6</t>
  </si>
  <si>
    <t>Team Member 7</t>
  </si>
  <si>
    <t>Team Member 8</t>
  </si>
  <si>
    <t>Team Member 9</t>
  </si>
  <si>
    <t>Team Member 10</t>
  </si>
  <si>
    <t>AAA</t>
  </si>
  <si>
    <t>BBB</t>
  </si>
  <si>
    <t>BBB@CCC.com</t>
  </si>
  <si>
    <t>None</t>
  </si>
  <si>
    <t>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</si>
</sst>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E4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13">
    <xf numFmtId="0" fontId="0" fillId="0" borderId="0" xfId="0"/>
    <xf numFmtId="0" fontId="0" fillId="0" borderId="10" xfId="0" applyBorder="1"/>
    <xf numFmtId="0" fontId="0" fillId="0" borderId="10" xfId="0" applyBorder="1" applyAlignment="1">
      <alignment horizontal="center"/>
    </xf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/>
    <xf numFmtId="0" fontId="0" fillId="34" borderId="10" xfId="0" applyFill="1" applyBorder="1" applyAlignment="1">
      <alignment horizontal="center"/>
    </xf>
    <xf numFmtId="0" fontId="0" fillId="35" borderId="10" xfId="0" applyFill="1" applyBorder="1"/>
    <xf numFmtId="0" fontId="0" fillId="35" borderId="10" xfId="0" applyFill="1" applyBorder="1" applyAlignment="1">
      <alignment horizontal="center"/>
    </xf>
    <xf numFmtId="0" fontId="18" fillId="33" borderId="10" xfId="42" applyFill="1" applyBorder="1"/>
    <xf numFmtId="0" fontId="0" fillId="36" borderId="10" xfId="0" applyFill="1" applyBorder="1"/>
    <xf numFmtId="0" fontId="18" fillId="36" borderId="10" xfId="42" applyFill="1" applyBorder="1"/>
    <xf numFmtId="0" fontId="0" fillId="36" borderId="10" xfId="0" applyFill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EAE400"/>
      <color rgb="FFF4EE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BBB@CCC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100"/>
  <sheetViews>
    <sheetView tabSelected="1" workbookViewId="0">
      <selection activeCell="E10" sqref="E10"/>
    </sheetView>
  </sheetViews>
  <sheetFormatPr baseColWidth="10" defaultColWidth="9.1640625" defaultRowHeight="15" x14ac:dyDescent="0.2"/>
  <cols>
    <col min="1" max="3" width="16.83203125" style="1" customWidth="1"/>
    <col min="4" max="8" width="16.83203125" style="2" customWidth="1"/>
    <col min="9" max="18" width="17.5" style="1" customWidth="1"/>
    <col min="19" max="16384" width="9.1640625" style="1"/>
  </cols>
  <sheetData>
    <row r="1" spans="1:18" s="5" customFormat="1" x14ac:dyDescent="0.2">
      <c r="A1" s="5" t="s">
        <v>0</v>
      </c>
      <c r="B1" s="5" t="s">
        <v>1</v>
      </c>
      <c r="C1" s="5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spans="1:18" x14ac:dyDescent="0.2">
      <c r="A2" s="3" t="s">
        <v>18</v>
      </c>
      <c r="B2" s="3" t="s">
        <v>19</v>
      </c>
      <c r="C2" s="9" t="s">
        <v>20</v>
      </c>
      <c r="D2" s="2">
        <f>IF(A2="","",1)</f>
        <v>1</v>
      </c>
      <c r="E2" s="4" t="s">
        <v>21</v>
      </c>
      <c r="F2" s="4" t="s">
        <v>22</v>
      </c>
      <c r="G2" s="4">
        <v>1</v>
      </c>
      <c r="H2" s="2">
        <f t="shared" ref="H2:H65" si="0">IF(A2="","",COUNTIF($G$2:$G$100,G2))</f>
        <v>1</v>
      </c>
      <c r="I2" s="1" t="str" cm="1">
        <f t="array" ref="I2">IFERROR(IF(G2=G1,I1,CONCATENATE(INDEX(A2:$G$100,SMALL(IF(G2:$G$100=G2,ROW(G2:$G$100)-ROW(G2)+1,ROW($G$100)+1),1),1)," ",INDEX(A2:$G$100,SMALL(IF(G2:$G$100=G2,ROW(G2:$G$100)-ROW(G2)+1,ROW($G$100)+1),1),2))),"")</f>
        <v>AAA BBB</v>
      </c>
      <c r="J2" s="1" t="str" cm="1">
        <f t="array" ref="J2">IFERROR(IF(G2=G1,J1,CONCATENATE(INDEX(A2:$G$100,SMALL(IF(G2:$G$100=G2,ROW(G2:$G$100)-ROW(G2)+1,ROW($G$100)+1),2),1)," ",INDEX(A2:$G$100,SMALL(IF(G2:$G$100=G2,ROW(G2:$G$100)-ROW(G2)+1,ROW($G$100)+1),2),2))),"")</f>
        <v/>
      </c>
      <c r="K2" s="1" t="str" cm="1">
        <f t="array" ref="K2">IFERROR(IF(G2=G1,K1,CONCATENATE(INDEX(A2:$G$100,SMALL(IF(G2:$G$100=G2,ROW(G2:$G$100)-ROW(G2)+1,ROW($G$100)+1),3),1)," ",INDEX(A2:$G$100,SMALL(IF(G2:$G$100=G2,ROW(G2:$G$100)-ROW(G2)+1,ROW($G$100)+1),3),2))),"")</f>
        <v/>
      </c>
      <c r="L2" s="1" t="str" cm="1">
        <f t="array" ref="L2">IFERROR(IF(G2=G1,L1,CONCATENATE(INDEX(A2:$G$100,SMALL(IF(G2:$G$100=G2,ROW(G2:$G$100)-ROW(G2)+1,ROW($G$100)+1),4),1)," ",INDEX(A2:$G$100,SMALL(IF(G2:$G$100=G2,ROW(G2:$G$100)-ROW(G2)+1,ROW($G$100)+1),4),2))),"")</f>
        <v/>
      </c>
      <c r="M2" s="1" t="str" cm="1">
        <f t="array" ref="M2">IFERROR(IF(G2=G1,M1,CONCATENATE(INDEX(A2:$G$100,SMALL(IF(G2:$G$100=G2,ROW(G2:$G$100)-ROW(G2)+1,ROW($G$100)+1),5),1)," ",INDEX(A2:$G$100,SMALL(IF(G2:$G$100=G2,ROW(G2:$G$100)-ROW(G2)+1,ROW($G$100)+1),5),2))),"")</f>
        <v/>
      </c>
      <c r="N2" s="1" t="str" cm="1">
        <f t="array" ref="N2">IFERROR(IF(G2=G1,N1,CONCATENATE(INDEX(A2:$G$100,SMALL(IF(G2:$G$100=G2,ROW(G2:$G$100)-ROW(G2)+1,ROW($G$100)+1),6),1)," ",INDEX(A2:$G$100,SMALL(IF(G2:$G$100=G2,ROW(G2:$G$100)-ROW(G2)+1,ROW($G$100)+1),6),2))),"")</f>
        <v/>
      </c>
      <c r="O2" s="1" t="str" cm="1">
        <f t="array" ref="O2">IFERROR(IF(G2=G1,O1,CONCATENATE(INDEX(A2:$G$100,SMALL(IF(G2:$G$100=G2,ROW(G2:$G$100)-ROW(G2)+1,ROW($G$100)+1),7),1)," ",INDEX(A2:$G$100,SMALL(IF(G2:$G$100=G2,ROW(G2:$G$100)-ROW(G2)+1,ROW($G$100)+1),7),2))),"")</f>
        <v/>
      </c>
      <c r="P2" s="1" t="str" cm="1">
        <f t="array" ref="P2">IFERROR(IF(G2=G1,P1,CONCATENATE(INDEX(A2:$G$100,SMALL(IF(G2:$G$100=G2,ROW(G2:$G$100)-ROW(G2)+1,ROW($G$100)+1),8),1)," ",INDEX(A2:$G$100,SMALL(IF(G2:$G$100=G2,ROW(G2:$G$100)-ROW(G2)+1,ROW($G$100)+1),8),2))),"")</f>
        <v/>
      </c>
      <c r="Q2" s="1" t="str" cm="1">
        <f t="array" ref="Q2">IFERROR(IF(G2=G1,Q1,CONCATENATE(INDEX(A2:$G$100,SMALL(IF(G2:$G$100=G2,ROW(G2:$G$100)-ROW(G2)+1,ROW($G$100)+1),9),1)," ",INDEX(A2:$G$100,SMALL(IF(G2:$G$100=G2,ROW(G2:$G$100)-ROW(G2)+1,ROW($G$100)+1),9),2))),"")</f>
        <v/>
      </c>
      <c r="R2" s="1" t="str" cm="1">
        <f t="array" ref="R2">IFERROR(IF(G2=G1,R1,CONCATENATE(INDEX(A2:$G$100,SMALL(IF(G2:$G$100=G2,ROW(G2:$G$100)-ROW(G2)+1,ROW($G$100)+1),10),1)," ",INDEX(A2:$G$100,SMALL(IF(G2:$G$100=G2,ROW(G2:$G$100)-ROW(G2)+1,ROW($G$100)+1),10),2))),"")</f>
        <v/>
      </c>
    </row>
    <row r="3" spans="1:18" s="7" customFormat="1" x14ac:dyDescent="0.2">
      <c r="A3" s="10"/>
      <c r="B3" s="10"/>
      <c r="C3" s="11"/>
      <c r="D3" s="8" t="str">
        <f t="shared" ref="D3:D34" si="1">IF(A3="","",1+D2)</f>
        <v/>
      </c>
      <c r="E3" s="8" t="str">
        <f t="shared" ref="E3:E34" si="2">IF(A3="","",$E$2)</f>
        <v/>
      </c>
      <c r="F3" s="8" t="str">
        <f t="shared" ref="F3:F34" si="3">IF(A3="","",$F$2)</f>
        <v/>
      </c>
      <c r="G3" s="12"/>
      <c r="H3" s="8" t="str">
        <f t="shared" si="0"/>
        <v/>
      </c>
      <c r="I3" s="7" t="str" cm="1">
        <f t="array" ref="I3">IFERROR(IF(G3=G2,I2,CONCATENATE(INDEX(A3:$G$100,SMALL(IF(G3:$G$100=G3,ROW(G3:$G$100)-ROW(G3)+1,ROW($G$100)+1),1),1)," ",INDEX(A3:$G$100,SMALL(IF(G3:$G$100=G3,ROW(G3:$G$100)-ROW(G3)+1,ROW($G$100)+1),1),2))),"")</f>
        <v xml:space="preserve"> </v>
      </c>
      <c r="J3" s="7" t="str" cm="1">
        <f t="array" ref="J3">IFERROR(IF(G3=G2,J2,CONCATENATE(INDEX(A3:$G$100,SMALL(IF(G3:$G$100=G3,ROW(G3:$G$100)-ROW(G3)+1,ROW($G$100)+1),2),1)," ",INDEX(A3:$G$100,SMALL(IF(G3:$G$100=G3,ROW(G3:$G$100)-ROW(G3)+1,ROW($G$100)+1),2),2))),"")</f>
        <v xml:space="preserve"> </v>
      </c>
      <c r="K3" s="7" t="str" cm="1">
        <f t="array" ref="K3">IFERROR(IF(G3=G2,K2,CONCATENATE(INDEX(A3:$G$100,SMALL(IF(G3:$G$100=G3,ROW(G3:$G$100)-ROW(G3)+1,ROW($G$100)+1),3),1)," ",INDEX(A3:$G$100,SMALL(IF(G3:$G$100=G3,ROW(G3:$G$100)-ROW(G3)+1,ROW($G$100)+1),3),2))),"")</f>
        <v xml:space="preserve"> </v>
      </c>
      <c r="L3" s="7" t="str" cm="1">
        <f t="array" ref="L3">IFERROR(IF(G3=G2,L2,CONCATENATE(INDEX(A3:$G$100,SMALL(IF(G3:$G$100=G3,ROW(G3:$G$100)-ROW(G3)+1,ROW($G$100)+1),4),1)," ",INDEX(A3:$G$100,SMALL(IF(G3:$G$100=G3,ROW(G3:$G$100)-ROW(G3)+1,ROW($G$100)+1),4),2))),"")</f>
        <v xml:space="preserve"> </v>
      </c>
      <c r="M3" s="7" t="str" cm="1">
        <f t="array" ref="M3">IFERROR(IF(G3=G2,M2,CONCATENATE(INDEX(A3:$G$100,SMALL(IF(G3:$G$100=G3,ROW(G3:$G$100)-ROW(G3)+1,ROW($G$100)+1),5),1)," ",INDEX(A3:$G$100,SMALL(IF(G3:$G$100=G3,ROW(G3:$G$100)-ROW(G3)+1,ROW($G$100)+1),5),2))),"")</f>
        <v xml:space="preserve"> </v>
      </c>
      <c r="N3" s="7" t="str" cm="1">
        <f t="array" ref="N3">IFERROR(IF(G3=G2,N2,CONCATENATE(INDEX(A3:$G$100,SMALL(IF(G3:$G$100=G3,ROW(G3:$G$100)-ROW(G3)+1,ROW($G$100)+1),6),1)," ",INDEX(A3:$G$100,SMALL(IF(G3:$G$100=G3,ROW(G3:$G$100)-ROW(G3)+1,ROW($G$100)+1),6),2))),"")</f>
        <v xml:space="preserve"> </v>
      </c>
      <c r="O3" s="7" t="str" cm="1">
        <f t="array" ref="O3">IFERROR(IF(G3=G2,O2,CONCATENATE(INDEX(A3:$G$100,SMALL(IF(G3:$G$100=G3,ROW(G3:$G$100)-ROW(G3)+1,ROW($G$100)+1),7),1)," ",INDEX(A3:$G$100,SMALL(IF(G3:$G$100=G3,ROW(G3:$G$100)-ROW(G3)+1,ROW($G$100)+1),7),2))),"")</f>
        <v xml:space="preserve"> </v>
      </c>
      <c r="P3" s="7" t="str" cm="1">
        <f t="array" ref="P3">IFERROR(IF(G3=G2,P2,CONCATENATE(INDEX(A3:$G$100,SMALL(IF(G3:$G$100=G3,ROW(G3:$G$100)-ROW(G3)+1,ROW($G$100)+1),8),1)," ",INDEX(A3:$G$100,SMALL(IF(G3:$G$100=G3,ROW(G3:$G$100)-ROW(G3)+1,ROW($G$100)+1),8),2))),"")</f>
        <v xml:space="preserve"> </v>
      </c>
      <c r="Q3" s="7" t="str" cm="1">
        <f t="array" ref="Q3">IFERROR(IF(G3=G2,Q2,CONCATENATE(INDEX(A3:$G$100,SMALL(IF(G3:$G$100=G3,ROW(G3:$G$100)-ROW(G3)+1,ROW($G$100)+1),9),1)," ",INDEX(A3:$G$100,SMALL(IF(G3:$G$100=G3,ROW(G3:$G$100)-ROW(G3)+1,ROW($G$100)+1),9),2))),"")</f>
        <v xml:space="preserve"> </v>
      </c>
      <c r="R3" s="7" t="str" cm="1">
        <f t="array" ref="R3">IFERROR(IF(G3=G2,R2,CONCATENATE(INDEX(A3:$G$100,SMALL(IF(G3:$G$100=G3,ROW(G3:$G$100)-ROW(G3)+1,ROW($G$100)+1),10),1)," ",INDEX(A3:$G$100,SMALL(IF(G3:$G$100=G3,ROW(G3:$G$100)-ROW(G3)+1,ROW($G$100)+1),10),2))),"")</f>
        <v xml:space="preserve"> </v>
      </c>
    </row>
    <row r="4" spans="1:18" x14ac:dyDescent="0.2">
      <c r="A4" s="3"/>
      <c r="B4" s="3"/>
      <c r="C4" s="9"/>
      <c r="D4" s="2" t="str">
        <f t="shared" si="1"/>
        <v/>
      </c>
      <c r="E4" s="2" t="str">
        <f t="shared" si="2"/>
        <v/>
      </c>
      <c r="F4" s="2" t="str">
        <f t="shared" si="3"/>
        <v/>
      </c>
      <c r="G4" s="4"/>
      <c r="H4" s="2" t="str">
        <f t="shared" si="0"/>
        <v/>
      </c>
      <c r="I4" s="1" t="str" cm="1">
        <f t="array" ref="I4">IFERROR(IF(G4=G3,I3,CONCATENATE(INDEX(A4:$G$100,SMALL(IF(G4:$G$100=G4,ROW(G4:$G$100)-ROW(G4)+1,ROW($G$100)+1),1),1)," ",INDEX(A4:$G$100,SMALL(IF(G4:$G$100=G4,ROW(G4:$G$100)-ROW(G4)+1,ROW($G$100)+1),1),2))),"")</f>
        <v xml:space="preserve"> </v>
      </c>
      <c r="J4" s="1" t="str" cm="1">
        <f t="array" ref="J4">IFERROR(IF(G4=G3,J3,CONCATENATE(INDEX(A4:$G$100,SMALL(IF(G4:$G$100=G4,ROW(G4:$G$100)-ROW(G4)+1,ROW($G$100)+1),2),1)," ",INDEX(A4:$G$100,SMALL(IF(G4:$G$100=G4,ROW(G4:$G$100)-ROW(G4)+1,ROW($G$100)+1),2),2))),"")</f>
        <v xml:space="preserve"> </v>
      </c>
      <c r="K4" s="1" t="str" cm="1">
        <f t="array" ref="K4">IFERROR(IF(G4=G3,K3,CONCATENATE(INDEX(A4:$G$100,SMALL(IF(G4:$G$100=G4,ROW(G4:$G$100)-ROW(G4)+1,ROW($G$100)+1),3),1)," ",INDEX(A4:$G$100,SMALL(IF(G4:$G$100=G4,ROW(G4:$G$100)-ROW(G4)+1,ROW($G$100)+1),3),2))),"")</f>
        <v xml:space="preserve"> </v>
      </c>
      <c r="L4" s="1" t="str" cm="1">
        <f t="array" ref="L4">IFERROR(IF(G4=G3,L3,CONCATENATE(INDEX(A4:$G$100,SMALL(IF(G4:$G$100=G4,ROW(G4:$G$100)-ROW(G4)+1,ROW($G$100)+1),4),1)," ",INDEX(A4:$G$100,SMALL(IF(G4:$G$100=G4,ROW(G4:$G$100)-ROW(G4)+1,ROW($G$100)+1),4),2))),"")</f>
        <v xml:space="preserve"> </v>
      </c>
      <c r="M4" s="1" t="str" cm="1">
        <f t="array" ref="M4">IFERROR(IF(G4=G3,M3,CONCATENATE(INDEX(A4:$G$100,SMALL(IF(G4:$G$100=G4,ROW(G4:$G$100)-ROW(G4)+1,ROW($G$100)+1),5),1)," ",INDEX(A4:$G$100,SMALL(IF(G4:$G$100=G4,ROW(G4:$G$100)-ROW(G4)+1,ROW($G$100)+1),5),2))),"")</f>
        <v xml:space="preserve"> </v>
      </c>
      <c r="N4" s="1" t="str" cm="1">
        <f t="array" ref="N4">IFERROR(IF(G4=G3,N3,CONCATENATE(INDEX(A4:$G$100,SMALL(IF(G4:$G$100=G4,ROW(G4:$G$100)-ROW(G4)+1,ROW($G$100)+1),6),1)," ",INDEX(A4:$G$100,SMALL(IF(G4:$G$100=G4,ROW(G4:$G$100)-ROW(G4)+1,ROW($G$100)+1),6),2))),"")</f>
        <v xml:space="preserve"> </v>
      </c>
      <c r="O4" s="1" t="str" cm="1">
        <f t="array" ref="O4">IFERROR(IF(G4=G3,O3,CONCATENATE(INDEX(A4:$G$100,SMALL(IF(G4:$G$100=G4,ROW(G4:$G$100)-ROW(G4)+1,ROW($G$100)+1),7),1)," ",INDEX(A4:$G$100,SMALL(IF(G4:$G$100=G4,ROW(G4:$G$100)-ROW(G4)+1,ROW($G$100)+1),7),2))),"")</f>
        <v xml:space="preserve"> </v>
      </c>
      <c r="P4" s="1" t="str" cm="1">
        <f t="array" ref="P4">IFERROR(IF(G4=G3,P3,CONCATENATE(INDEX(A4:$G$100,SMALL(IF(G4:$G$100=G4,ROW(G4:$G$100)-ROW(G4)+1,ROW($G$100)+1),8),1)," ",INDEX(A4:$G$100,SMALL(IF(G4:$G$100=G4,ROW(G4:$G$100)-ROW(G4)+1,ROW($G$100)+1),8),2))),"")</f>
        <v xml:space="preserve"> </v>
      </c>
      <c r="Q4" s="1" t="str" cm="1">
        <f t="array" ref="Q4">IFERROR(IF(G4=G3,Q3,CONCATENATE(INDEX(A4:$G$100,SMALL(IF(G4:$G$100=G4,ROW(G4:$G$100)-ROW(G4)+1,ROW($G$100)+1),9),1)," ",INDEX(A4:$G$100,SMALL(IF(G4:$G$100=G4,ROW(G4:$G$100)-ROW(G4)+1,ROW($G$100)+1),9),2))),"")</f>
        <v xml:space="preserve"> </v>
      </c>
      <c r="R4" s="1" t="str" cm="1">
        <f t="array" ref="R4">IFERROR(IF(G4=G3,R3,CONCATENATE(INDEX(A4:$G$100,SMALL(IF(G4:$G$100=G4,ROW(G4:$G$100)-ROW(G4)+1,ROW($G$100)+1),10),1)," ",INDEX(A4:$G$100,SMALL(IF(G4:$G$100=G4,ROW(G4:$G$100)-ROW(G4)+1,ROW($G$100)+1),10),2))),"")</f>
        <v xml:space="preserve"> </v>
      </c>
    </row>
    <row r="5" spans="1:18" s="7" customFormat="1" x14ac:dyDescent="0.2">
      <c r="A5" s="10"/>
      <c r="B5" s="10"/>
      <c r="C5" s="11"/>
      <c r="D5" s="8" t="str">
        <f t="shared" si="1"/>
        <v/>
      </c>
      <c r="E5" s="8" t="str">
        <f t="shared" si="2"/>
        <v/>
      </c>
      <c r="F5" s="8" t="str">
        <f t="shared" si="3"/>
        <v/>
      </c>
      <c r="G5" s="12"/>
      <c r="H5" s="8" t="str">
        <f t="shared" si="0"/>
        <v/>
      </c>
      <c r="I5" s="7" t="str" cm="1">
        <f t="array" ref="I5">IFERROR(IF(G5=G4,I4,CONCATENATE(INDEX(A5:$G$100,SMALL(IF(G5:$G$100=G5,ROW(G5:$G$100)-ROW(G5)+1,ROW($G$100)+1),1),1)," ",INDEX(A5:$G$100,SMALL(IF(G5:$G$100=G5,ROW(G5:$G$100)-ROW(G5)+1,ROW($G$100)+1),1),2))),"")</f>
        <v xml:space="preserve"> </v>
      </c>
      <c r="J5" s="7" t="str" cm="1">
        <f t="array" ref="J5">IFERROR(IF(G5=G4,J4,CONCATENATE(INDEX(A5:$G$100,SMALL(IF(G5:$G$100=G5,ROW(G5:$G$100)-ROW(G5)+1,ROW($G$100)+1),2),1)," ",INDEX(A5:$G$100,SMALL(IF(G5:$G$100=G5,ROW(G5:$G$100)-ROW(G5)+1,ROW($G$100)+1),2),2))),"")</f>
        <v xml:space="preserve"> </v>
      </c>
      <c r="K5" s="7" t="str" cm="1">
        <f t="array" ref="K5">IFERROR(IF(G5=G4,K4,CONCATENATE(INDEX(A5:$G$100,SMALL(IF(G5:$G$100=G5,ROW(G5:$G$100)-ROW(G5)+1,ROW($G$100)+1),3),1)," ",INDEX(A5:$G$100,SMALL(IF(G5:$G$100=G5,ROW(G5:$G$100)-ROW(G5)+1,ROW($G$100)+1),3),2))),"")</f>
        <v xml:space="preserve"> </v>
      </c>
      <c r="L5" s="7" t="str" cm="1">
        <f t="array" ref="L5">IFERROR(IF(G5=G4,L4,CONCATENATE(INDEX(A5:$G$100,SMALL(IF(G5:$G$100=G5,ROW(G5:$G$100)-ROW(G5)+1,ROW($G$100)+1),4),1)," ",INDEX(A5:$G$100,SMALL(IF(G5:$G$100=G5,ROW(G5:$G$100)-ROW(G5)+1,ROW($G$100)+1),4),2))),"")</f>
        <v xml:space="preserve"> </v>
      </c>
      <c r="M5" s="7" t="str" cm="1">
        <f t="array" ref="M5">IFERROR(IF(G5=G4,M4,CONCATENATE(INDEX(A5:$G$100,SMALL(IF(G5:$G$100=G5,ROW(G5:$G$100)-ROW(G5)+1,ROW($G$100)+1),5),1)," ",INDEX(A5:$G$100,SMALL(IF(G5:$G$100=G5,ROW(G5:$G$100)-ROW(G5)+1,ROW($G$100)+1),5),2))),"")</f>
        <v xml:space="preserve"> </v>
      </c>
      <c r="N5" s="7" t="str" cm="1">
        <f t="array" ref="N5">IFERROR(IF(G5=G4,N4,CONCATENATE(INDEX(A5:$G$100,SMALL(IF(G5:$G$100=G5,ROW(G5:$G$100)-ROW(G5)+1,ROW($G$100)+1),6),1)," ",INDEX(A5:$G$100,SMALL(IF(G5:$G$100=G5,ROW(G5:$G$100)-ROW(G5)+1,ROW($G$100)+1),6),2))),"")</f>
        <v xml:space="preserve"> </v>
      </c>
      <c r="O5" s="7" t="str" cm="1">
        <f t="array" ref="O5">IFERROR(IF(G5=G4,O4,CONCATENATE(INDEX(A5:$G$100,SMALL(IF(G5:$G$100=G5,ROW(G5:$G$100)-ROW(G5)+1,ROW($G$100)+1),7),1)," ",INDEX(A5:$G$100,SMALL(IF(G5:$G$100=G5,ROW(G5:$G$100)-ROW(G5)+1,ROW($G$100)+1),7),2))),"")</f>
        <v xml:space="preserve"> </v>
      </c>
      <c r="P5" s="7" t="str" cm="1">
        <f t="array" ref="P5">IFERROR(IF(G5=G4,P4,CONCATENATE(INDEX(A5:$G$100,SMALL(IF(G5:$G$100=G5,ROW(G5:$G$100)-ROW(G5)+1,ROW($G$100)+1),8),1)," ",INDEX(A5:$G$100,SMALL(IF(G5:$G$100=G5,ROW(G5:$G$100)-ROW(G5)+1,ROW($G$100)+1),8),2))),"")</f>
        <v xml:space="preserve"> </v>
      </c>
      <c r="Q5" s="7" t="str" cm="1">
        <f t="array" ref="Q5">IFERROR(IF(G5=G4,Q4,CONCATENATE(INDEX(A5:$G$100,SMALL(IF(G5:$G$100=G5,ROW(G5:$G$100)-ROW(G5)+1,ROW($G$100)+1),9),1)," ",INDEX(A5:$G$100,SMALL(IF(G5:$G$100=G5,ROW(G5:$G$100)-ROW(G5)+1,ROW($G$100)+1),9),2))),"")</f>
        <v xml:space="preserve"> </v>
      </c>
      <c r="R5" s="7" t="str" cm="1">
        <f t="array" ref="R5">IFERROR(IF(G5=G4,R4,CONCATENATE(INDEX(A5:$G$100,SMALL(IF(G5:$G$100=G5,ROW(G5:$G$100)-ROW(G5)+1,ROW($G$100)+1),10),1)," ",INDEX(A5:$G$100,SMALL(IF(G5:$G$100=G5,ROW(G5:$G$100)-ROW(G5)+1,ROW($G$100)+1),10),2))),"")</f>
        <v xml:space="preserve"> </v>
      </c>
    </row>
    <row r="6" spans="1:18" x14ac:dyDescent="0.2">
      <c r="A6" s="3"/>
      <c r="B6" s="3"/>
      <c r="C6" s="9"/>
      <c r="D6" s="2" t="str">
        <f t="shared" si="1"/>
        <v/>
      </c>
      <c r="E6" s="2" t="str">
        <f t="shared" si="2"/>
        <v/>
      </c>
      <c r="F6" s="2" t="str">
        <f t="shared" si="3"/>
        <v/>
      </c>
      <c r="G6" s="4"/>
      <c r="H6" s="2" t="str">
        <f t="shared" si="0"/>
        <v/>
      </c>
      <c r="I6" s="1" t="str" cm="1">
        <f t="array" ref="I6">IFERROR(IF(G6=G5,I5,CONCATENATE(INDEX(A6:$G$100,SMALL(IF(G6:$G$100=G6,ROW(G6:$G$100)-ROW(G6)+1,ROW($G$100)+1),1),1)," ",INDEX(A6:$G$100,SMALL(IF(G6:$G$100=G6,ROW(G6:$G$100)-ROW(G6)+1,ROW($G$100)+1),1),2))),"")</f>
        <v xml:space="preserve"> </v>
      </c>
      <c r="J6" s="1" t="str" cm="1">
        <f t="array" ref="J6">IFERROR(IF(G6=G5,J5,CONCATENATE(INDEX(A6:$G$100,SMALL(IF(G6:$G$100=G6,ROW(G6:$G$100)-ROW(G6)+1,ROW($G$100)+1),2),1)," ",INDEX(A6:$G$100,SMALL(IF(G6:$G$100=G6,ROW(G6:$G$100)-ROW(G6)+1,ROW($G$100)+1),2),2))),"")</f>
        <v xml:space="preserve"> </v>
      </c>
      <c r="K6" s="1" t="str" cm="1">
        <f t="array" ref="K6">IFERROR(IF(G6=G5,K5,CONCATENATE(INDEX(A6:$G$100,SMALL(IF(G6:$G$100=G6,ROW(G6:$G$100)-ROW(G6)+1,ROW($G$100)+1),3),1)," ",INDEX(A6:$G$100,SMALL(IF(G6:$G$100=G6,ROW(G6:$G$100)-ROW(G6)+1,ROW($G$100)+1),3),2))),"")</f>
        <v xml:space="preserve"> </v>
      </c>
      <c r="L6" s="1" t="str" cm="1">
        <f t="array" ref="L6">IFERROR(IF(G6=G5,L5,CONCATENATE(INDEX(A6:$G$100,SMALL(IF(G6:$G$100=G6,ROW(G6:$G$100)-ROW(G6)+1,ROW($G$100)+1),4),1)," ",INDEX(A6:$G$100,SMALL(IF(G6:$G$100=G6,ROW(G6:$G$100)-ROW(G6)+1,ROW($G$100)+1),4),2))),"")</f>
        <v xml:space="preserve"> </v>
      </c>
      <c r="M6" s="1" t="str" cm="1">
        <f t="array" ref="M6">IFERROR(IF(G6=G5,M5,CONCATENATE(INDEX(A6:$G$100,SMALL(IF(G6:$G$100=G6,ROW(G6:$G$100)-ROW(G6)+1,ROW($G$100)+1),5),1)," ",INDEX(A6:$G$100,SMALL(IF(G6:$G$100=G6,ROW(G6:$G$100)-ROW(G6)+1,ROW($G$100)+1),5),2))),"")</f>
        <v xml:space="preserve"> </v>
      </c>
      <c r="N6" s="1" t="str" cm="1">
        <f t="array" ref="N6">IFERROR(IF(G6=G5,N5,CONCATENATE(INDEX(A6:$G$100,SMALL(IF(G6:$G$100=G6,ROW(G6:$G$100)-ROW(G6)+1,ROW($G$100)+1),6),1)," ",INDEX(A6:$G$100,SMALL(IF(G6:$G$100=G6,ROW(G6:$G$100)-ROW(G6)+1,ROW($G$100)+1),6),2))),"")</f>
        <v xml:space="preserve"> </v>
      </c>
      <c r="O6" s="1" t="str" cm="1">
        <f t="array" ref="O6">IFERROR(IF(G6=G5,O5,CONCATENATE(INDEX(A6:$G$100,SMALL(IF(G6:$G$100=G6,ROW(G6:$G$100)-ROW(G6)+1,ROW($G$100)+1),7),1)," ",INDEX(A6:$G$100,SMALL(IF(G6:$G$100=G6,ROW(G6:$G$100)-ROW(G6)+1,ROW($G$100)+1),7),2))),"")</f>
        <v xml:space="preserve"> </v>
      </c>
      <c r="P6" s="1" t="str" cm="1">
        <f t="array" ref="P6">IFERROR(IF(G6=G5,P5,CONCATENATE(INDEX(A6:$G$100,SMALL(IF(G6:$G$100=G6,ROW(G6:$G$100)-ROW(G6)+1,ROW($G$100)+1),8),1)," ",INDEX(A6:$G$100,SMALL(IF(G6:$G$100=G6,ROW(G6:$G$100)-ROW(G6)+1,ROW($G$100)+1),8),2))),"")</f>
        <v xml:space="preserve"> </v>
      </c>
      <c r="Q6" s="1" t="str" cm="1">
        <f t="array" ref="Q6">IFERROR(IF(G6=G5,Q5,CONCATENATE(INDEX(A6:$G$100,SMALL(IF(G6:$G$100=G6,ROW(G6:$G$100)-ROW(G6)+1,ROW($G$100)+1),9),1)," ",INDEX(A6:$G$100,SMALL(IF(G6:$G$100=G6,ROW(G6:$G$100)-ROW(G6)+1,ROW($G$100)+1),9),2))),"")</f>
        <v xml:space="preserve"> </v>
      </c>
      <c r="R6" s="1" t="str" cm="1">
        <f t="array" ref="R6">IFERROR(IF(G6=G5,R5,CONCATENATE(INDEX(A6:$G$100,SMALL(IF(G6:$G$100=G6,ROW(G6:$G$100)-ROW(G6)+1,ROW($G$100)+1),10),1)," ",INDEX(A6:$G$100,SMALL(IF(G6:$G$100=G6,ROW(G6:$G$100)-ROW(G6)+1,ROW($G$100)+1),10),2))),"")</f>
        <v xml:space="preserve"> </v>
      </c>
    </row>
    <row r="7" spans="1:18" s="7" customFormat="1" x14ac:dyDescent="0.2">
      <c r="A7" s="10"/>
      <c r="B7" s="10"/>
      <c r="C7" s="11"/>
      <c r="D7" s="8" t="str">
        <f t="shared" si="1"/>
        <v/>
      </c>
      <c r="E7" s="8" t="str">
        <f t="shared" si="2"/>
        <v/>
      </c>
      <c r="F7" s="8" t="str">
        <f t="shared" si="3"/>
        <v/>
      </c>
      <c r="G7" s="12"/>
      <c r="H7" s="8" t="str">
        <f t="shared" si="0"/>
        <v/>
      </c>
      <c r="I7" s="7" t="str" cm="1">
        <f t="array" ref="I7">IFERROR(IF(G7=G6,I6,CONCATENATE(INDEX(A7:$G$100,SMALL(IF(G7:$G$100=G7,ROW(G7:$G$100)-ROW(G7)+1,ROW($G$100)+1),1),1)," ",INDEX(A7:$G$100,SMALL(IF(G7:$G$100=G7,ROW(G7:$G$100)-ROW(G7)+1,ROW($G$100)+1),1),2))),"")</f>
        <v xml:space="preserve"> </v>
      </c>
      <c r="J7" s="7" t="str" cm="1">
        <f t="array" ref="J7">IFERROR(IF(G7=G6,J6,CONCATENATE(INDEX(A7:$G$100,SMALL(IF(G7:$G$100=G7,ROW(G7:$G$100)-ROW(G7)+1,ROW($G$100)+1),2),1)," ",INDEX(A7:$G$100,SMALL(IF(G7:$G$100=G7,ROW(G7:$G$100)-ROW(G7)+1,ROW($G$100)+1),2),2))),"")</f>
        <v xml:space="preserve"> </v>
      </c>
      <c r="K7" s="7" t="str" cm="1">
        <f t="array" ref="K7">IFERROR(IF(G7=G6,K6,CONCATENATE(INDEX(A7:$G$100,SMALL(IF(G7:$G$100=G7,ROW(G7:$G$100)-ROW(G7)+1,ROW($G$100)+1),3),1)," ",INDEX(A7:$G$100,SMALL(IF(G7:$G$100=G7,ROW(G7:$G$100)-ROW(G7)+1,ROW($G$100)+1),3),2))),"")</f>
        <v xml:space="preserve"> </v>
      </c>
      <c r="L7" s="7" t="str" cm="1">
        <f t="array" ref="L7">IFERROR(IF(G7=G6,L6,CONCATENATE(INDEX(A7:$G$100,SMALL(IF(G7:$G$100=G7,ROW(G7:$G$100)-ROW(G7)+1,ROW($G$100)+1),4),1)," ",INDEX(A7:$G$100,SMALL(IF(G7:$G$100=G7,ROW(G7:$G$100)-ROW(G7)+1,ROW($G$100)+1),4),2))),"")</f>
        <v xml:space="preserve"> </v>
      </c>
      <c r="M7" s="7" t="str" cm="1">
        <f t="array" ref="M7">IFERROR(IF(G7=G6,M6,CONCATENATE(INDEX(A7:$G$100,SMALL(IF(G7:$G$100=G7,ROW(G7:$G$100)-ROW(G7)+1,ROW($G$100)+1),5),1)," ",INDEX(A7:$G$100,SMALL(IF(G7:$G$100=G7,ROW(G7:$G$100)-ROW(G7)+1,ROW($G$100)+1),5),2))),"")</f>
        <v xml:space="preserve"> </v>
      </c>
      <c r="N7" s="7" t="str" cm="1">
        <f t="array" ref="N7">IFERROR(IF(G7=G6,N6,CONCATENATE(INDEX(A7:$G$100,SMALL(IF(G7:$G$100=G7,ROW(G7:$G$100)-ROW(G7)+1,ROW($G$100)+1),6),1)," ",INDEX(A7:$G$100,SMALL(IF(G7:$G$100=G7,ROW(G7:$G$100)-ROW(G7)+1,ROW($G$100)+1),6),2))),"")</f>
        <v xml:space="preserve"> </v>
      </c>
      <c r="O7" s="7" t="str" cm="1">
        <f t="array" ref="O7">IFERROR(IF(G7=G6,O6,CONCATENATE(INDEX(A7:$G$100,SMALL(IF(G7:$G$100=G7,ROW(G7:$G$100)-ROW(G7)+1,ROW($G$100)+1),7),1)," ",INDEX(A7:$G$100,SMALL(IF(G7:$G$100=G7,ROW(G7:$G$100)-ROW(G7)+1,ROW($G$100)+1),7),2))),"")</f>
        <v xml:space="preserve"> </v>
      </c>
      <c r="P7" s="7" t="str" cm="1">
        <f t="array" ref="P7">IFERROR(IF(G7=G6,P6,CONCATENATE(INDEX(A7:$G$100,SMALL(IF(G7:$G$100=G7,ROW(G7:$G$100)-ROW(G7)+1,ROW($G$100)+1),8),1)," ",INDEX(A7:$G$100,SMALL(IF(G7:$G$100=G7,ROW(G7:$G$100)-ROW(G7)+1,ROW($G$100)+1),8),2))),"")</f>
        <v xml:space="preserve"> </v>
      </c>
      <c r="Q7" s="7" t="str" cm="1">
        <f t="array" ref="Q7">IFERROR(IF(G7=G6,Q6,CONCATENATE(INDEX(A7:$G$100,SMALL(IF(G7:$G$100=G7,ROW(G7:$G$100)-ROW(G7)+1,ROW($G$100)+1),9),1)," ",INDEX(A7:$G$100,SMALL(IF(G7:$G$100=G7,ROW(G7:$G$100)-ROW(G7)+1,ROW($G$100)+1),9),2))),"")</f>
        <v xml:space="preserve"> </v>
      </c>
      <c r="R7" s="7" t="str" cm="1">
        <f t="array" ref="R7">IFERROR(IF(G7=G6,R6,CONCATENATE(INDEX(A7:$G$100,SMALL(IF(G7:$G$100=G7,ROW(G7:$G$100)-ROW(G7)+1,ROW($G$100)+1),10),1)," ",INDEX(A7:$G$100,SMALL(IF(G7:$G$100=G7,ROW(G7:$G$100)-ROW(G7)+1,ROW($G$100)+1),10),2))),"")</f>
        <v xml:space="preserve"> </v>
      </c>
    </row>
    <row r="8" spans="1:18" x14ac:dyDescent="0.2">
      <c r="A8" s="3"/>
      <c r="B8" s="3"/>
      <c r="C8" s="9"/>
      <c r="D8" s="2" t="str">
        <f t="shared" si="1"/>
        <v/>
      </c>
      <c r="E8" s="2" t="str">
        <f t="shared" si="2"/>
        <v/>
      </c>
      <c r="F8" s="2" t="str">
        <f t="shared" si="3"/>
        <v/>
      </c>
      <c r="G8" s="4"/>
      <c r="H8" s="2" t="str">
        <f t="shared" si="0"/>
        <v/>
      </c>
      <c r="I8" s="1" t="str" cm="1">
        <f t="array" ref="I8">IFERROR(IF(G8=G7,I7,CONCATENATE(INDEX(A8:$G$100,SMALL(IF(G8:$G$100=G8,ROW(G8:$G$100)-ROW(G8)+1,ROW($G$100)+1),1),1)," ",INDEX(A8:$G$100,SMALL(IF(G8:$G$100=G8,ROW(G8:$G$100)-ROW(G8)+1,ROW($G$100)+1),1),2))),"")</f>
        <v xml:space="preserve"> </v>
      </c>
      <c r="J8" s="1" t="str" cm="1">
        <f t="array" ref="J8">IFERROR(IF(G8=G7,J7,CONCATENATE(INDEX(A8:$G$100,SMALL(IF(G8:$G$100=G8,ROW(G8:$G$100)-ROW(G8)+1,ROW($G$100)+1),2),1)," ",INDEX(A8:$G$100,SMALL(IF(G8:$G$100=G8,ROW(G8:$G$100)-ROW(G8)+1,ROW($G$100)+1),2),2))),"")</f>
        <v xml:space="preserve"> </v>
      </c>
      <c r="K8" s="1" t="str" cm="1">
        <f t="array" ref="K8">IFERROR(IF(G8=G7,K7,CONCATENATE(INDEX(A8:$G$100,SMALL(IF(G8:$G$100=G8,ROW(G8:$G$100)-ROW(G8)+1,ROW($G$100)+1),3),1)," ",INDEX(A8:$G$100,SMALL(IF(G8:$G$100=G8,ROW(G8:$G$100)-ROW(G8)+1,ROW($G$100)+1),3),2))),"")</f>
        <v xml:space="preserve"> </v>
      </c>
      <c r="L8" s="1" t="str" cm="1">
        <f t="array" ref="L8">IFERROR(IF(G8=G7,L7,CONCATENATE(INDEX(A8:$G$100,SMALL(IF(G8:$G$100=G8,ROW(G8:$G$100)-ROW(G8)+1,ROW($G$100)+1),4),1)," ",INDEX(A8:$G$100,SMALL(IF(G8:$G$100=G8,ROW(G8:$G$100)-ROW(G8)+1,ROW($G$100)+1),4),2))),"")</f>
        <v xml:space="preserve"> </v>
      </c>
      <c r="M8" s="1" t="str" cm="1">
        <f t="array" ref="M8">IFERROR(IF(G8=G7,M7,CONCATENATE(INDEX(A8:$G$100,SMALL(IF(G8:$G$100=G8,ROW(G8:$G$100)-ROW(G8)+1,ROW($G$100)+1),5),1)," ",INDEX(A8:$G$100,SMALL(IF(G8:$G$100=G8,ROW(G8:$G$100)-ROW(G8)+1,ROW($G$100)+1),5),2))),"")</f>
        <v xml:space="preserve"> </v>
      </c>
      <c r="N8" s="1" t="str" cm="1">
        <f t="array" ref="N8">IFERROR(IF(G8=G7,N7,CONCATENATE(INDEX(A8:$G$100,SMALL(IF(G8:$G$100=G8,ROW(G8:$G$100)-ROW(G8)+1,ROW($G$100)+1),6),1)," ",INDEX(A8:$G$100,SMALL(IF(G8:$G$100=G8,ROW(G8:$G$100)-ROW(G8)+1,ROW($G$100)+1),6),2))),"")</f>
        <v xml:space="preserve"> </v>
      </c>
      <c r="O8" s="1" t="str" cm="1">
        <f t="array" ref="O8">IFERROR(IF(G8=G7,O7,CONCATENATE(INDEX(A8:$G$100,SMALL(IF(G8:$G$100=G8,ROW(G8:$G$100)-ROW(G8)+1,ROW($G$100)+1),7),1)," ",INDEX(A8:$G$100,SMALL(IF(G8:$G$100=G8,ROW(G8:$G$100)-ROW(G8)+1,ROW($G$100)+1),7),2))),"")</f>
        <v xml:space="preserve"> </v>
      </c>
      <c r="P8" s="1" t="str" cm="1">
        <f t="array" ref="P8">IFERROR(IF(G8=G7,P7,CONCATENATE(INDEX(A8:$G$100,SMALL(IF(G8:$G$100=G8,ROW(G8:$G$100)-ROW(G8)+1,ROW($G$100)+1),8),1)," ",INDEX(A8:$G$100,SMALL(IF(G8:$G$100=G8,ROW(G8:$G$100)-ROW(G8)+1,ROW($G$100)+1),8),2))),"")</f>
        <v xml:space="preserve"> </v>
      </c>
      <c r="Q8" s="1" t="str" cm="1">
        <f t="array" ref="Q8">IFERROR(IF(G8=G7,Q7,CONCATENATE(INDEX(A8:$G$100,SMALL(IF(G8:$G$100=G8,ROW(G8:$G$100)-ROW(G8)+1,ROW($G$100)+1),9),1)," ",INDEX(A8:$G$100,SMALL(IF(G8:$G$100=G8,ROW(G8:$G$100)-ROW(G8)+1,ROW($G$100)+1),9),2))),"")</f>
        <v xml:space="preserve"> </v>
      </c>
      <c r="R8" s="1" t="str" cm="1">
        <f t="array" ref="R8">IFERROR(IF(G8=G7,R7,CONCATENATE(INDEX(A8:$G$100,SMALL(IF(G8:$G$100=G8,ROW(G8:$G$100)-ROW(G8)+1,ROW($G$100)+1),10),1)," ",INDEX(A8:$G$100,SMALL(IF(G8:$G$100=G8,ROW(G8:$G$100)-ROW(G8)+1,ROW($G$100)+1),10),2))),"")</f>
        <v xml:space="preserve"> </v>
      </c>
    </row>
    <row r="9" spans="1:18" s="7" customFormat="1" x14ac:dyDescent="0.2">
      <c r="A9" s="10"/>
      <c r="B9" s="10"/>
      <c r="C9" s="11"/>
      <c r="D9" s="8" t="str">
        <f t="shared" si="1"/>
        <v/>
      </c>
      <c r="E9" s="8" t="str">
        <f t="shared" si="2"/>
        <v/>
      </c>
      <c r="F9" s="8" t="str">
        <f t="shared" si="3"/>
        <v/>
      </c>
      <c r="G9" s="12"/>
      <c r="H9" s="8" t="str">
        <f t="shared" si="0"/>
        <v/>
      </c>
      <c r="I9" s="7" t="str" cm="1">
        <f t="array" ref="I9">IFERROR(IF(G9=G8,I8,CONCATENATE(INDEX(A9:$G$100,SMALL(IF(G9:$G$100=G9,ROW(G9:$G$100)-ROW(G9)+1,ROW($G$100)+1),1),1)," ",INDEX(A9:$G$100,SMALL(IF(G9:$G$100=G9,ROW(G9:$G$100)-ROW(G9)+1,ROW($G$100)+1),1),2))),"")</f>
        <v xml:space="preserve"> </v>
      </c>
      <c r="J9" s="7" t="str" cm="1">
        <f t="array" ref="J9">IFERROR(IF(G9=G8,J8,CONCATENATE(INDEX(A9:$G$100,SMALL(IF(G9:$G$100=G9,ROW(G9:$G$100)-ROW(G9)+1,ROW($G$100)+1),2),1)," ",INDEX(A9:$G$100,SMALL(IF(G9:$G$100=G9,ROW(G9:$G$100)-ROW(G9)+1,ROW($G$100)+1),2),2))),"")</f>
        <v xml:space="preserve"> </v>
      </c>
      <c r="K9" s="7" t="str" cm="1">
        <f t="array" ref="K9">IFERROR(IF(G9=G8,K8,CONCATENATE(INDEX(A9:$G$100,SMALL(IF(G9:$G$100=G9,ROW(G9:$G$100)-ROW(G9)+1,ROW($G$100)+1),3),1)," ",INDEX(A9:$G$100,SMALL(IF(G9:$G$100=G9,ROW(G9:$G$100)-ROW(G9)+1,ROW($G$100)+1),3),2))),"")</f>
        <v xml:space="preserve"> </v>
      </c>
      <c r="L9" s="7" t="str" cm="1">
        <f t="array" ref="L9">IFERROR(IF(G9=G8,L8,CONCATENATE(INDEX(A9:$G$100,SMALL(IF(G9:$G$100=G9,ROW(G9:$G$100)-ROW(G9)+1,ROW($G$100)+1),4),1)," ",INDEX(A9:$G$100,SMALL(IF(G9:$G$100=G9,ROW(G9:$G$100)-ROW(G9)+1,ROW($G$100)+1),4),2))),"")</f>
        <v xml:space="preserve"> </v>
      </c>
      <c r="M9" s="7" t="str" cm="1">
        <f t="array" ref="M9">IFERROR(IF(G9=G8,M8,CONCATENATE(INDEX(A9:$G$100,SMALL(IF(G9:$G$100=G9,ROW(G9:$G$100)-ROW(G9)+1,ROW($G$100)+1),5),1)," ",INDEX(A9:$G$100,SMALL(IF(G9:$G$100=G9,ROW(G9:$G$100)-ROW(G9)+1,ROW($G$100)+1),5),2))),"")</f>
        <v xml:space="preserve"> </v>
      </c>
      <c r="N9" s="7" t="str" cm="1">
        <f t="array" ref="N9">IFERROR(IF(G9=G8,N8,CONCATENATE(INDEX(A9:$G$100,SMALL(IF(G9:$G$100=G9,ROW(G9:$G$100)-ROW(G9)+1,ROW($G$100)+1),6),1)," ",INDEX(A9:$G$100,SMALL(IF(G9:$G$100=G9,ROW(G9:$G$100)-ROW(G9)+1,ROW($G$100)+1),6),2))),"")</f>
        <v xml:space="preserve"> </v>
      </c>
      <c r="O9" s="7" t="str" cm="1">
        <f t="array" ref="O9">IFERROR(IF(G9=G8,O8,CONCATENATE(INDEX(A9:$G$100,SMALL(IF(G9:$G$100=G9,ROW(G9:$G$100)-ROW(G9)+1,ROW($G$100)+1),7),1)," ",INDEX(A9:$G$100,SMALL(IF(G9:$G$100=G9,ROW(G9:$G$100)-ROW(G9)+1,ROW($G$100)+1),7),2))),"")</f>
        <v xml:space="preserve"> </v>
      </c>
      <c r="P9" s="7" t="str" cm="1">
        <f t="array" ref="P9">IFERROR(IF(G9=G8,P8,CONCATENATE(INDEX(A9:$G$100,SMALL(IF(G9:$G$100=G9,ROW(G9:$G$100)-ROW(G9)+1,ROW($G$100)+1),8),1)," ",INDEX(A9:$G$100,SMALL(IF(G9:$G$100=G9,ROW(G9:$G$100)-ROW(G9)+1,ROW($G$100)+1),8),2))),"")</f>
        <v xml:space="preserve"> </v>
      </c>
      <c r="Q9" s="7" t="str" cm="1">
        <f t="array" ref="Q9">IFERROR(IF(G9=G8,Q8,CONCATENATE(INDEX(A9:$G$100,SMALL(IF(G9:$G$100=G9,ROW(G9:$G$100)-ROW(G9)+1,ROW($G$100)+1),9),1)," ",INDEX(A9:$G$100,SMALL(IF(G9:$G$100=G9,ROW(G9:$G$100)-ROW(G9)+1,ROW($G$100)+1),9),2))),"")</f>
        <v xml:space="preserve"> </v>
      </c>
      <c r="R9" s="7" t="str" cm="1">
        <f t="array" ref="R9">IFERROR(IF(G9=G8,R8,CONCATENATE(INDEX(A9:$G$100,SMALL(IF(G9:$G$100=G9,ROW(G9:$G$100)-ROW(G9)+1,ROW($G$100)+1),10),1)," ",INDEX(A9:$G$100,SMALL(IF(G9:$G$100=G9,ROW(G9:$G$100)-ROW(G9)+1,ROW($G$100)+1),10),2))),"")</f>
        <v xml:space="preserve"> </v>
      </c>
    </row>
    <row r="10" spans="1:18" x14ac:dyDescent="0.2">
      <c r="A10" s="3"/>
      <c r="B10" s="3"/>
      <c r="C10" s="9"/>
      <c r="D10" s="2" t="str">
        <f t="shared" si="1"/>
        <v/>
      </c>
      <c r="E10" s="2" t="str">
        <f t="shared" si="2"/>
        <v/>
      </c>
      <c r="F10" s="2" t="str">
        <f t="shared" si="3"/>
        <v/>
      </c>
      <c r="G10" s="4"/>
      <c r="H10" s="2" t="str">
        <f t="shared" si="0"/>
        <v/>
      </c>
      <c r="I10" s="1" t="str" cm="1">
        <f t="array" ref="I10">IFERROR(IF(G10=G9,I9,CONCATENATE(INDEX(A10:$G$100,SMALL(IF(G10:$G$100=G10,ROW(G10:$G$100)-ROW(G10)+1,ROW($G$100)+1),1),1)," ",INDEX(A10:$G$100,SMALL(IF(G10:$G$100=G10,ROW(G10:$G$100)-ROW(G10)+1,ROW($G$100)+1),1),2))),"")</f>
        <v xml:space="preserve"> </v>
      </c>
      <c r="J10" s="1" t="str" cm="1">
        <f t="array" ref="J10">IFERROR(IF(G10=G9,J9,CONCATENATE(INDEX(A10:$G$100,SMALL(IF(G10:$G$100=G10,ROW(G10:$G$100)-ROW(G10)+1,ROW($G$100)+1),2),1)," ",INDEX(A10:$G$100,SMALL(IF(G10:$G$100=G10,ROW(G10:$G$100)-ROW(G10)+1,ROW($G$100)+1),2),2))),"")</f>
        <v xml:space="preserve"> </v>
      </c>
      <c r="K10" s="1" t="str" cm="1">
        <f t="array" ref="K10">IFERROR(IF(G10=G9,K9,CONCATENATE(INDEX(A10:$G$100,SMALL(IF(G10:$G$100=G10,ROW(G10:$G$100)-ROW(G10)+1,ROW($G$100)+1),3),1)," ",INDEX(A10:$G$100,SMALL(IF(G10:$G$100=G10,ROW(G10:$G$100)-ROW(G10)+1,ROW($G$100)+1),3),2))),"")</f>
        <v xml:space="preserve"> </v>
      </c>
      <c r="L10" s="1" t="str" cm="1">
        <f t="array" ref="L10">IFERROR(IF(G10=G9,L9,CONCATENATE(INDEX(A10:$G$100,SMALL(IF(G10:$G$100=G10,ROW(G10:$G$100)-ROW(G10)+1,ROW($G$100)+1),4),1)," ",INDEX(A10:$G$100,SMALL(IF(G10:$G$100=G10,ROW(G10:$G$100)-ROW(G10)+1,ROW($G$100)+1),4),2))),"")</f>
        <v xml:space="preserve"> </v>
      </c>
      <c r="M10" s="1" t="str" cm="1">
        <f t="array" ref="M10">IFERROR(IF(G10=G9,M9,CONCATENATE(INDEX(A10:$G$100,SMALL(IF(G10:$G$100=G10,ROW(G10:$G$100)-ROW(G10)+1,ROW($G$100)+1),5),1)," ",INDEX(A10:$G$100,SMALL(IF(G10:$G$100=G10,ROW(G10:$G$100)-ROW(G10)+1,ROW($G$100)+1),5),2))),"")</f>
        <v xml:space="preserve"> </v>
      </c>
      <c r="N10" s="1" t="str" cm="1">
        <f t="array" ref="N10">IFERROR(IF(G10=G9,N9,CONCATENATE(INDEX(A10:$G$100,SMALL(IF(G10:$G$100=G10,ROW(G10:$G$100)-ROW(G10)+1,ROW($G$100)+1),6),1)," ",INDEX(A10:$G$100,SMALL(IF(G10:$G$100=G10,ROW(G10:$G$100)-ROW(G10)+1,ROW($G$100)+1),6),2))),"")</f>
        <v xml:space="preserve"> </v>
      </c>
      <c r="O10" s="1" t="str" cm="1">
        <f t="array" ref="O10">IFERROR(IF(G10=G9,O9,CONCATENATE(INDEX(A10:$G$100,SMALL(IF(G10:$G$100=G10,ROW(G10:$G$100)-ROW(G10)+1,ROW($G$100)+1),7),1)," ",INDEX(A10:$G$100,SMALL(IF(G10:$G$100=G10,ROW(G10:$G$100)-ROW(G10)+1,ROW($G$100)+1),7),2))),"")</f>
        <v xml:space="preserve"> </v>
      </c>
      <c r="P10" s="1" t="str" cm="1">
        <f t="array" ref="P10">IFERROR(IF(G10=G9,P9,CONCATENATE(INDEX(A10:$G$100,SMALL(IF(G10:$G$100=G10,ROW(G10:$G$100)-ROW(G10)+1,ROW($G$100)+1),8),1)," ",INDEX(A10:$G$100,SMALL(IF(G10:$G$100=G10,ROW(G10:$G$100)-ROW(G10)+1,ROW($G$100)+1),8),2))),"")</f>
        <v xml:space="preserve"> </v>
      </c>
      <c r="Q10" s="1" t="str" cm="1">
        <f t="array" ref="Q10">IFERROR(IF(G10=G9,Q9,CONCATENATE(INDEX(A10:$G$100,SMALL(IF(G10:$G$100=G10,ROW(G10:$G$100)-ROW(G10)+1,ROW($G$100)+1),9),1)," ",INDEX(A10:$G$100,SMALL(IF(G10:$G$100=G10,ROW(G10:$G$100)-ROW(G10)+1,ROW($G$100)+1),9),2))),"")</f>
        <v xml:space="preserve"> </v>
      </c>
      <c r="R10" s="1" t="str" cm="1">
        <f t="array" ref="R10">IFERROR(IF(G10=G9,R9,CONCATENATE(INDEX(A10:$G$100,SMALL(IF(G10:$G$100=G10,ROW(G10:$G$100)-ROW(G10)+1,ROW($G$100)+1),10),1)," ",INDEX(A10:$G$100,SMALL(IF(G10:$G$100=G10,ROW(G10:$G$100)-ROW(G10)+1,ROW($G$100)+1),10),2))),"")</f>
        <v xml:space="preserve"> </v>
      </c>
    </row>
    <row r="11" spans="1:18" s="7" customFormat="1" x14ac:dyDescent="0.2">
      <c r="A11" s="10"/>
      <c r="B11" s="10"/>
      <c r="C11" s="11"/>
      <c r="D11" s="8" t="str">
        <f t="shared" si="1"/>
        <v/>
      </c>
      <c r="E11" s="8" t="str">
        <f t="shared" si="2"/>
        <v/>
      </c>
      <c r="F11" s="8" t="str">
        <f t="shared" si="3"/>
        <v/>
      </c>
      <c r="G11" s="12"/>
      <c r="H11" s="8" t="str">
        <f t="shared" si="0"/>
        <v/>
      </c>
      <c r="I11" s="7" t="str" cm="1">
        <f t="array" ref="I11">IFERROR(IF(G11=G10,I10,CONCATENATE(INDEX(A11:$G$100,SMALL(IF(G11:$G$100=G11,ROW(G11:$G$100)-ROW(G11)+1,ROW($G$100)+1),1),1)," ",INDEX(A11:$G$100,SMALL(IF(G11:$G$100=G11,ROW(G11:$G$100)-ROW(G11)+1,ROW($G$100)+1),1),2))),"")</f>
        <v xml:space="preserve"> </v>
      </c>
      <c r="J11" s="7" t="str" cm="1">
        <f t="array" ref="J11">IFERROR(IF(G11=G10,J10,CONCATENATE(INDEX(A11:$G$100,SMALL(IF(G11:$G$100=G11,ROW(G11:$G$100)-ROW(G11)+1,ROW($G$100)+1),2),1)," ",INDEX(A11:$G$100,SMALL(IF(G11:$G$100=G11,ROW(G11:$G$100)-ROW(G11)+1,ROW($G$100)+1),2),2))),"")</f>
        <v xml:space="preserve"> </v>
      </c>
      <c r="K11" s="7" t="str" cm="1">
        <f t="array" ref="K11">IFERROR(IF(G11=G10,K10,CONCATENATE(INDEX(A11:$G$100,SMALL(IF(G11:$G$100=G11,ROW(G11:$G$100)-ROW(G11)+1,ROW($G$100)+1),3),1)," ",INDEX(A11:$G$100,SMALL(IF(G11:$G$100=G11,ROW(G11:$G$100)-ROW(G11)+1,ROW($G$100)+1),3),2))),"")</f>
        <v xml:space="preserve"> </v>
      </c>
      <c r="L11" s="7" t="str" cm="1">
        <f t="array" ref="L11">IFERROR(IF(G11=G10,L10,CONCATENATE(INDEX(A11:$G$100,SMALL(IF(G11:$G$100=G11,ROW(G11:$G$100)-ROW(G11)+1,ROW($G$100)+1),4),1)," ",INDEX(A11:$G$100,SMALL(IF(G11:$G$100=G11,ROW(G11:$G$100)-ROW(G11)+1,ROW($G$100)+1),4),2))),"")</f>
        <v xml:space="preserve"> </v>
      </c>
      <c r="M11" s="7" t="str" cm="1">
        <f t="array" ref="M11">IFERROR(IF(G11=G10,M10,CONCATENATE(INDEX(A11:$G$100,SMALL(IF(G11:$G$100=G11,ROW(G11:$G$100)-ROW(G11)+1,ROW($G$100)+1),5),1)," ",INDEX(A11:$G$100,SMALL(IF(G11:$G$100=G11,ROW(G11:$G$100)-ROW(G11)+1,ROW($G$100)+1),5),2))),"")</f>
        <v xml:space="preserve"> </v>
      </c>
      <c r="N11" s="7" t="str" cm="1">
        <f t="array" ref="N11">IFERROR(IF(G11=G10,N10,CONCATENATE(INDEX(A11:$G$100,SMALL(IF(G11:$G$100=G11,ROW(G11:$G$100)-ROW(G11)+1,ROW($G$100)+1),6),1)," ",INDEX(A11:$G$100,SMALL(IF(G11:$G$100=G11,ROW(G11:$G$100)-ROW(G11)+1,ROW($G$100)+1),6),2))),"")</f>
        <v xml:space="preserve"> </v>
      </c>
      <c r="O11" s="7" t="str" cm="1">
        <f t="array" ref="O11">IFERROR(IF(G11=G10,O10,CONCATENATE(INDEX(A11:$G$100,SMALL(IF(G11:$G$100=G11,ROW(G11:$G$100)-ROW(G11)+1,ROW($G$100)+1),7),1)," ",INDEX(A11:$G$100,SMALL(IF(G11:$G$100=G11,ROW(G11:$G$100)-ROW(G11)+1,ROW($G$100)+1),7),2))),"")</f>
        <v xml:space="preserve"> </v>
      </c>
      <c r="P11" s="7" t="str" cm="1">
        <f t="array" ref="P11">IFERROR(IF(G11=G10,P10,CONCATENATE(INDEX(A11:$G$100,SMALL(IF(G11:$G$100=G11,ROW(G11:$G$100)-ROW(G11)+1,ROW($G$100)+1),8),1)," ",INDEX(A11:$G$100,SMALL(IF(G11:$G$100=G11,ROW(G11:$G$100)-ROW(G11)+1,ROW($G$100)+1),8),2))),"")</f>
        <v xml:space="preserve"> </v>
      </c>
      <c r="Q11" s="7" t="str" cm="1">
        <f t="array" ref="Q11">IFERROR(IF(G11=G10,Q10,CONCATENATE(INDEX(A11:$G$100,SMALL(IF(G11:$G$100=G11,ROW(G11:$G$100)-ROW(G11)+1,ROW($G$100)+1),9),1)," ",INDEX(A11:$G$100,SMALL(IF(G11:$G$100=G11,ROW(G11:$G$100)-ROW(G11)+1,ROW($G$100)+1),9),2))),"")</f>
        <v xml:space="preserve"> </v>
      </c>
      <c r="R11" s="7" t="str" cm="1">
        <f t="array" ref="R11">IFERROR(IF(G11=G10,R10,CONCATENATE(INDEX(A11:$G$100,SMALL(IF(G11:$G$100=G11,ROW(G11:$G$100)-ROW(G11)+1,ROW($G$100)+1),10),1)," ",INDEX(A11:$G$100,SMALL(IF(G11:$G$100=G11,ROW(G11:$G$100)-ROW(G11)+1,ROW($G$100)+1),10),2))),"")</f>
        <v xml:space="preserve"> </v>
      </c>
    </row>
    <row r="12" spans="1:18" x14ac:dyDescent="0.2">
      <c r="A12" s="3"/>
      <c r="B12" s="3"/>
      <c r="C12" s="9"/>
      <c r="D12" s="2" t="str">
        <f t="shared" si="1"/>
        <v/>
      </c>
      <c r="E12" s="2" t="str">
        <f t="shared" si="2"/>
        <v/>
      </c>
      <c r="F12" s="2" t="str">
        <f t="shared" si="3"/>
        <v/>
      </c>
      <c r="G12" s="4"/>
      <c r="H12" s="2" t="str">
        <f t="shared" si="0"/>
        <v/>
      </c>
      <c r="I12" s="1" t="str" cm="1">
        <f t="array" ref="I12">IFERROR(IF(G12=G11,I11,CONCATENATE(INDEX(A12:$G$100,SMALL(IF(G12:$G$100=G12,ROW(G12:$G$100)-ROW(G12)+1,ROW($G$100)+1),1),1)," ",INDEX(A12:$G$100,SMALL(IF(G12:$G$100=G12,ROW(G12:$G$100)-ROW(G12)+1,ROW($G$100)+1),1),2))),"")</f>
        <v xml:space="preserve"> </v>
      </c>
      <c r="J12" s="1" t="str" cm="1">
        <f t="array" ref="J12">IFERROR(IF(G12=G11,J11,CONCATENATE(INDEX(A12:$G$100,SMALL(IF(G12:$G$100=G12,ROW(G12:$G$100)-ROW(G12)+1,ROW($G$100)+1),2),1)," ",INDEX(A12:$G$100,SMALL(IF(G12:$G$100=G12,ROW(G12:$G$100)-ROW(G12)+1,ROW($G$100)+1),2),2))),"")</f>
        <v xml:space="preserve"> </v>
      </c>
      <c r="K12" s="1" t="str" cm="1">
        <f t="array" ref="K12">IFERROR(IF(G12=G11,K11,CONCATENATE(INDEX(A12:$G$100,SMALL(IF(G12:$G$100=G12,ROW(G12:$G$100)-ROW(G12)+1,ROW($G$100)+1),3),1)," ",INDEX(A12:$G$100,SMALL(IF(G12:$G$100=G12,ROW(G12:$G$100)-ROW(G12)+1,ROW($G$100)+1),3),2))),"")</f>
        <v xml:space="preserve"> </v>
      </c>
      <c r="L12" s="1" t="str" cm="1">
        <f t="array" ref="L12">IFERROR(IF(G12=G11,L11,CONCATENATE(INDEX(A12:$G$100,SMALL(IF(G12:$G$100=G12,ROW(G12:$G$100)-ROW(G12)+1,ROW($G$100)+1),4),1)," ",INDEX(A12:$G$100,SMALL(IF(G12:$G$100=G12,ROW(G12:$G$100)-ROW(G12)+1,ROW($G$100)+1),4),2))),"")</f>
        <v xml:space="preserve"> </v>
      </c>
      <c r="M12" s="1" t="str" cm="1">
        <f t="array" ref="M12">IFERROR(IF(G12=G11,M11,CONCATENATE(INDEX(A12:$G$100,SMALL(IF(G12:$G$100=G12,ROW(G12:$G$100)-ROW(G12)+1,ROW($G$100)+1),5),1)," ",INDEX(A12:$G$100,SMALL(IF(G12:$G$100=G12,ROW(G12:$G$100)-ROW(G12)+1,ROW($G$100)+1),5),2))),"")</f>
        <v xml:space="preserve"> </v>
      </c>
      <c r="N12" s="1" t="str" cm="1">
        <f t="array" ref="N12">IFERROR(IF(G12=G11,N11,CONCATENATE(INDEX(A12:$G$100,SMALL(IF(G12:$G$100=G12,ROW(G12:$G$100)-ROW(G12)+1,ROW($G$100)+1),6),1)," ",INDEX(A12:$G$100,SMALL(IF(G12:$G$100=G12,ROW(G12:$G$100)-ROW(G12)+1,ROW($G$100)+1),6),2))),"")</f>
        <v xml:space="preserve"> </v>
      </c>
      <c r="O12" s="1" t="str" cm="1">
        <f t="array" ref="O12">IFERROR(IF(G12=G11,O11,CONCATENATE(INDEX(A12:$G$100,SMALL(IF(G12:$G$100=G12,ROW(G12:$G$100)-ROW(G12)+1,ROW($G$100)+1),7),1)," ",INDEX(A12:$G$100,SMALL(IF(G12:$G$100=G12,ROW(G12:$G$100)-ROW(G12)+1,ROW($G$100)+1),7),2))),"")</f>
        <v xml:space="preserve"> </v>
      </c>
      <c r="P12" s="1" t="str" cm="1">
        <f t="array" ref="P12">IFERROR(IF(G12=G11,P11,CONCATENATE(INDEX(A12:$G$100,SMALL(IF(G12:$G$100=G12,ROW(G12:$G$100)-ROW(G12)+1,ROW($G$100)+1),8),1)," ",INDEX(A12:$G$100,SMALL(IF(G12:$G$100=G12,ROW(G12:$G$100)-ROW(G12)+1,ROW($G$100)+1),8),2))),"")</f>
        <v xml:space="preserve"> </v>
      </c>
      <c r="Q12" s="1" t="str" cm="1">
        <f t="array" ref="Q12">IFERROR(IF(G12=G11,Q11,CONCATENATE(INDEX(A12:$G$100,SMALL(IF(G12:$G$100=G12,ROW(G12:$G$100)-ROW(G12)+1,ROW($G$100)+1),9),1)," ",INDEX(A12:$G$100,SMALL(IF(G12:$G$100=G12,ROW(G12:$G$100)-ROW(G12)+1,ROW($G$100)+1),9),2))),"")</f>
        <v xml:space="preserve"> </v>
      </c>
      <c r="R12" s="1" t="str" cm="1">
        <f t="array" ref="R12">IFERROR(IF(G12=G11,R11,CONCATENATE(INDEX(A12:$G$100,SMALL(IF(G12:$G$100=G12,ROW(G12:$G$100)-ROW(G12)+1,ROW($G$100)+1),10),1)," ",INDEX(A12:$G$100,SMALL(IF(G12:$G$100=G12,ROW(G12:$G$100)-ROW(G12)+1,ROW($G$100)+1),10),2))),"")</f>
        <v xml:space="preserve"> </v>
      </c>
    </row>
    <row r="13" spans="1:18" s="7" customFormat="1" x14ac:dyDescent="0.2">
      <c r="A13" s="10"/>
      <c r="B13" s="10"/>
      <c r="C13" s="11"/>
      <c r="D13" s="8" t="str">
        <f t="shared" si="1"/>
        <v/>
      </c>
      <c r="E13" s="8" t="str">
        <f t="shared" si="2"/>
        <v/>
      </c>
      <c r="F13" s="8" t="str">
        <f t="shared" si="3"/>
        <v/>
      </c>
      <c r="G13" s="12"/>
      <c r="H13" s="8" t="str">
        <f>IF(A13="","",COUNTIF($G$2:$G$100,G13))</f>
        <v/>
      </c>
      <c r="I13" s="7" t="str" cm="1">
        <f t="array" ref="I13">IFERROR(IF(G13=G12,I12,CONCATENATE(INDEX(A13:$G$100,SMALL(IF(G13:$G$100=G13,ROW(G13:$G$100)-ROW(G13)+1,ROW($G$100)+1),1),1)," ",INDEX(A13:$G$100,SMALL(IF(G13:$G$100=G13,ROW(G13:$G$100)-ROW(G13)+1,ROW($G$100)+1),1),2))),"")</f>
        <v xml:space="preserve"> </v>
      </c>
      <c r="J13" s="7" t="str" cm="1">
        <f t="array" ref="J13">IFERROR(IF(G13=G12,J12,CONCATENATE(INDEX(A13:$G$100,SMALL(IF(G13:$G$100=G13,ROW(G13:$G$100)-ROW(G13)+1,ROW($G$100)+1),2),1)," ",INDEX(A13:$G$100,SMALL(IF(G13:$G$100=G13,ROW(G13:$G$100)-ROW(G13)+1,ROW($G$100)+1),2),2))),"")</f>
        <v xml:space="preserve"> </v>
      </c>
      <c r="K13" s="7" t="str" cm="1">
        <f t="array" ref="K13">IFERROR(IF(G13=G12,K12,CONCATENATE(INDEX(A13:$G$100,SMALL(IF(G13:$G$100=G13,ROW(G13:$G$100)-ROW(G13)+1,ROW($G$100)+1),3),1)," ",INDEX(A13:$G$100,SMALL(IF(G13:$G$100=G13,ROW(G13:$G$100)-ROW(G13)+1,ROW($G$100)+1),3),2))),"")</f>
        <v xml:space="preserve"> </v>
      </c>
      <c r="L13" s="7" t="str" cm="1">
        <f t="array" ref="L13">IFERROR(IF(G13=G12,L12,CONCATENATE(INDEX(A13:$G$100,SMALL(IF(G13:$G$100=G13,ROW(G13:$G$100)-ROW(G13)+1,ROW($G$100)+1),4),1)," ",INDEX(A13:$G$100,SMALL(IF(G13:$G$100=G13,ROW(G13:$G$100)-ROW(G13)+1,ROW($G$100)+1),4),2))),"")</f>
        <v xml:space="preserve"> </v>
      </c>
      <c r="M13" s="7" t="str" cm="1">
        <f t="array" ref="M13">IFERROR(IF(G13=G12,M12,CONCATENATE(INDEX(A13:$G$100,SMALL(IF(G13:$G$100=G13,ROW(G13:$G$100)-ROW(G13)+1,ROW($G$100)+1),5),1)," ",INDEX(A13:$G$100,SMALL(IF(G13:$G$100=G13,ROW(G13:$G$100)-ROW(G13)+1,ROW($G$100)+1),5),2))),"")</f>
        <v xml:space="preserve"> </v>
      </c>
      <c r="N13" s="7" t="str" cm="1">
        <f t="array" ref="N13">IFERROR(IF(G13=G12,N12,CONCATENATE(INDEX(A13:$G$100,SMALL(IF(G13:$G$100=G13,ROW(G13:$G$100)-ROW(G13)+1,ROW($G$100)+1),6),1)," ",INDEX(A13:$G$100,SMALL(IF(G13:$G$100=G13,ROW(G13:$G$100)-ROW(G13)+1,ROW($G$100)+1),6),2))),"")</f>
        <v xml:space="preserve"> </v>
      </c>
      <c r="O13" s="7" t="str" cm="1">
        <f t="array" ref="O13">IFERROR(IF(G13=G12,O12,CONCATENATE(INDEX(A13:$G$100,SMALL(IF(G13:$G$100=G13,ROW(G13:$G$100)-ROW(G13)+1,ROW($G$100)+1),7),1)," ",INDEX(A13:$G$100,SMALL(IF(G13:$G$100=G13,ROW(G13:$G$100)-ROW(G13)+1,ROW($G$100)+1),7),2))),"")</f>
        <v xml:space="preserve"> </v>
      </c>
      <c r="P13" s="7" t="str" cm="1">
        <f t="array" ref="P13">IFERROR(IF(G13=G12,P12,CONCATENATE(INDEX(A13:$G$100,SMALL(IF(G13:$G$100=G13,ROW(G13:$G$100)-ROW(G13)+1,ROW($G$100)+1),8),1)," ",INDEX(A13:$G$100,SMALL(IF(G13:$G$100=G13,ROW(G13:$G$100)-ROW(G13)+1,ROW($G$100)+1),8),2))),"")</f>
        <v xml:space="preserve"> </v>
      </c>
      <c r="Q13" s="7" t="str" cm="1">
        <f t="array" ref="Q13">IFERROR(IF(G13=G12,Q12,CONCATENATE(INDEX(A13:$G$100,SMALL(IF(G13:$G$100=G13,ROW(G13:$G$100)-ROW(G13)+1,ROW($G$100)+1),9),1)," ",INDEX(A13:$G$100,SMALL(IF(G13:$G$100=G13,ROW(G13:$G$100)-ROW(G13)+1,ROW($G$100)+1),9),2))),"")</f>
        <v xml:space="preserve"> </v>
      </c>
      <c r="R13" s="7" t="str" cm="1">
        <f t="array" ref="R13">IFERROR(IF(G13=G12,R12,CONCATENATE(INDEX(A13:$G$100,SMALL(IF(G13:$G$100=G13,ROW(G13:$G$100)-ROW(G13)+1,ROW($G$100)+1),10),1)," ",INDEX(A13:$G$100,SMALL(IF(G13:$G$100=G13,ROW(G13:$G$100)-ROW(G13)+1,ROW($G$100)+1),10),2))),"")</f>
        <v xml:space="preserve"> </v>
      </c>
    </row>
    <row r="14" spans="1:18" x14ac:dyDescent="0.2">
      <c r="A14" s="3"/>
      <c r="B14" s="3"/>
      <c r="C14" s="9"/>
      <c r="D14" s="2" t="str">
        <f t="shared" si="1"/>
        <v/>
      </c>
      <c r="E14" s="2" t="str">
        <f t="shared" si="2"/>
        <v/>
      </c>
      <c r="F14" s="2" t="str">
        <f t="shared" si="3"/>
        <v/>
      </c>
      <c r="G14" s="4"/>
      <c r="H14" s="2" t="str">
        <f t="shared" si="0"/>
        <v/>
      </c>
      <c r="I14" s="1" t="str" cm="1">
        <f t="array" ref="I14">IFERROR(IF(G14=G13,I13,CONCATENATE(INDEX(A14:$G$100,SMALL(IF(G14:$G$100=G14,ROW(G14:$G$100)-ROW(G14)+1,ROW($G$100)+1),1),1)," ",INDEX(A14:$G$100,SMALL(IF(G14:$G$100=G14,ROW(G14:$G$100)-ROW(G14)+1,ROW($G$100)+1),1),2))),"")</f>
        <v xml:space="preserve"> </v>
      </c>
      <c r="J14" s="1" t="str" cm="1">
        <f t="array" ref="J14">IFERROR(IF(G14=G13,J13,CONCATENATE(INDEX(A14:$G$100,SMALL(IF(G14:$G$100=G14,ROW(G14:$G$100)-ROW(G14)+1,ROW($G$100)+1),2),1)," ",INDEX(A14:$G$100,SMALL(IF(G14:$G$100=G14,ROW(G14:$G$100)-ROW(G14)+1,ROW($G$100)+1),2),2))),"")</f>
        <v xml:space="preserve"> </v>
      </c>
      <c r="K14" s="1" t="str" cm="1">
        <f t="array" ref="K14">IFERROR(IF(G14=G13,K13,CONCATENATE(INDEX(A14:$G$100,SMALL(IF(G14:$G$100=G14,ROW(G14:$G$100)-ROW(G14)+1,ROW($G$100)+1),3),1)," ",INDEX(A14:$G$100,SMALL(IF(G14:$G$100=G14,ROW(G14:$G$100)-ROW(G14)+1,ROW($G$100)+1),3),2))),"")</f>
        <v xml:space="preserve"> </v>
      </c>
      <c r="L14" s="1" t="str" cm="1">
        <f t="array" ref="L14">IFERROR(IF(G14=G13,L13,CONCATENATE(INDEX(A14:$G$100,SMALL(IF(G14:$G$100=G14,ROW(G14:$G$100)-ROW(G14)+1,ROW($G$100)+1),4),1)," ",INDEX(A14:$G$100,SMALL(IF(G14:$G$100=G14,ROW(G14:$G$100)-ROW(G14)+1,ROW($G$100)+1),4),2))),"")</f>
        <v xml:space="preserve"> </v>
      </c>
      <c r="M14" s="1" t="str" cm="1">
        <f t="array" ref="M14">IFERROR(IF(G14=G13,M13,CONCATENATE(INDEX(A14:$G$100,SMALL(IF(G14:$G$100=G14,ROW(G14:$G$100)-ROW(G14)+1,ROW($G$100)+1),5),1)," ",INDEX(A14:$G$100,SMALL(IF(G14:$G$100=G14,ROW(G14:$G$100)-ROW(G14)+1,ROW($G$100)+1),5),2))),"")</f>
        <v xml:space="preserve"> </v>
      </c>
      <c r="N14" s="1" t="str" cm="1">
        <f t="array" ref="N14">IFERROR(IF(G14=G13,N13,CONCATENATE(INDEX(A14:$G$100,SMALL(IF(G14:$G$100=G14,ROW(G14:$G$100)-ROW(G14)+1,ROW($G$100)+1),6),1)," ",INDEX(A14:$G$100,SMALL(IF(G14:$G$100=G14,ROW(G14:$G$100)-ROW(G14)+1,ROW($G$100)+1),6),2))),"")</f>
        <v xml:space="preserve"> </v>
      </c>
      <c r="O14" s="1" t="str" cm="1">
        <f t="array" ref="O14">IFERROR(IF(G14=G13,O13,CONCATENATE(INDEX(A14:$G$100,SMALL(IF(G14:$G$100=G14,ROW(G14:$G$100)-ROW(G14)+1,ROW($G$100)+1),7),1)," ",INDEX(A14:$G$100,SMALL(IF(G14:$G$100=G14,ROW(G14:$G$100)-ROW(G14)+1,ROW($G$100)+1),7),2))),"")</f>
        <v xml:space="preserve"> </v>
      </c>
      <c r="P14" s="1" t="str" cm="1">
        <f t="array" ref="P14">IFERROR(IF(G14=G13,P13,CONCATENATE(INDEX(A14:$G$100,SMALL(IF(G14:$G$100=G14,ROW(G14:$G$100)-ROW(G14)+1,ROW($G$100)+1),8),1)," ",INDEX(A14:$G$100,SMALL(IF(G14:$G$100=G14,ROW(G14:$G$100)-ROW(G14)+1,ROW($G$100)+1),8),2))),"")</f>
        <v xml:space="preserve"> </v>
      </c>
      <c r="Q14" s="1" t="str" cm="1">
        <f t="array" ref="Q14">IFERROR(IF(G14=G13,Q13,CONCATENATE(INDEX(A14:$G$100,SMALL(IF(G14:$G$100=G14,ROW(G14:$G$100)-ROW(G14)+1,ROW($G$100)+1),9),1)," ",INDEX(A14:$G$100,SMALL(IF(G14:$G$100=G14,ROW(G14:$G$100)-ROW(G14)+1,ROW($G$100)+1),9),2))),"")</f>
        <v xml:space="preserve"> </v>
      </c>
      <c r="R14" s="1" t="str" cm="1">
        <f t="array" ref="R14">IFERROR(IF(G14=G13,R13,CONCATENATE(INDEX(A14:$G$100,SMALL(IF(G14:$G$100=G14,ROW(G14:$G$100)-ROW(G14)+1,ROW($G$100)+1),10),1)," ",INDEX(A14:$G$100,SMALL(IF(G14:$G$100=G14,ROW(G14:$G$100)-ROW(G14)+1,ROW($G$100)+1),10),2))),"")</f>
        <v xml:space="preserve"> </v>
      </c>
    </row>
    <row r="15" spans="1:18" s="7" customFormat="1" x14ac:dyDescent="0.2">
      <c r="A15" s="10"/>
      <c r="B15" s="10"/>
      <c r="C15" s="11"/>
      <c r="D15" s="8" t="str">
        <f t="shared" si="1"/>
        <v/>
      </c>
      <c r="E15" s="8" t="str">
        <f t="shared" si="2"/>
        <v/>
      </c>
      <c r="F15" s="8" t="str">
        <f t="shared" si="3"/>
        <v/>
      </c>
      <c r="G15" s="12"/>
      <c r="H15" s="8" t="str">
        <f t="shared" si="0"/>
        <v/>
      </c>
      <c r="I15" s="7" t="str" cm="1">
        <f t="array" ref="I15">IFERROR(IF(G15=G14,I14,CONCATENATE(INDEX(A15:$G$100,SMALL(IF(G15:$G$100=G15,ROW(G15:$G$100)-ROW(G15)+1,ROW($G$100)+1),1),1)," ",INDEX(A15:$G$100,SMALL(IF(G15:$G$100=G15,ROW(G15:$G$100)-ROW(G15)+1,ROW($G$100)+1),1),2))),"")</f>
        <v xml:space="preserve"> </v>
      </c>
      <c r="J15" s="7" t="str" cm="1">
        <f t="array" ref="J15">IFERROR(IF(G15=G14,J14,CONCATENATE(INDEX(A15:$G$100,SMALL(IF(G15:$G$100=G15,ROW(G15:$G$100)-ROW(G15)+1,ROW($G$100)+1),2),1)," ",INDEX(A15:$G$100,SMALL(IF(G15:$G$100=G15,ROW(G15:$G$100)-ROW(G15)+1,ROW($G$100)+1),2),2))),"")</f>
        <v xml:space="preserve"> </v>
      </c>
      <c r="K15" s="7" t="str" cm="1">
        <f t="array" ref="K15">IFERROR(IF(G15=G14,K14,CONCATENATE(INDEX(A15:$G$100,SMALL(IF(G15:$G$100=G15,ROW(G15:$G$100)-ROW(G15)+1,ROW($G$100)+1),3),1)," ",INDEX(A15:$G$100,SMALL(IF(G15:$G$100=G15,ROW(G15:$G$100)-ROW(G15)+1,ROW($G$100)+1),3),2))),"")</f>
        <v xml:space="preserve"> </v>
      </c>
      <c r="L15" s="7" t="str" cm="1">
        <f t="array" ref="L15">IFERROR(IF(G15=G14,L14,CONCATENATE(INDEX(A15:$G$100,SMALL(IF(G15:$G$100=G15,ROW(G15:$G$100)-ROW(G15)+1,ROW($G$100)+1),4),1)," ",INDEX(A15:$G$100,SMALL(IF(G15:$G$100=G15,ROW(G15:$G$100)-ROW(G15)+1,ROW($G$100)+1),4),2))),"")</f>
        <v xml:space="preserve"> </v>
      </c>
      <c r="M15" s="7" t="str" cm="1">
        <f t="array" ref="M15">IFERROR(IF(G15=G14,M14,CONCATENATE(INDEX(A15:$G$100,SMALL(IF(G15:$G$100=G15,ROW(G15:$G$100)-ROW(G15)+1,ROW($G$100)+1),5),1)," ",INDEX(A15:$G$100,SMALL(IF(G15:$G$100=G15,ROW(G15:$G$100)-ROW(G15)+1,ROW($G$100)+1),5),2))),"")</f>
        <v xml:space="preserve"> </v>
      </c>
      <c r="N15" s="7" t="str" cm="1">
        <f t="array" ref="N15">IFERROR(IF(G15=G14,N14,CONCATENATE(INDEX(A15:$G$100,SMALL(IF(G15:$G$100=G15,ROW(G15:$G$100)-ROW(G15)+1,ROW($G$100)+1),6),1)," ",INDEX(A15:$G$100,SMALL(IF(G15:$G$100=G15,ROW(G15:$G$100)-ROW(G15)+1,ROW($G$100)+1),6),2))),"")</f>
        <v xml:space="preserve"> </v>
      </c>
      <c r="O15" s="7" t="str" cm="1">
        <f t="array" ref="O15">IFERROR(IF(G15=G14,O14,CONCATENATE(INDEX(A15:$G$100,SMALL(IF(G15:$G$100=G15,ROW(G15:$G$100)-ROW(G15)+1,ROW($G$100)+1),7),1)," ",INDEX(A15:$G$100,SMALL(IF(G15:$G$100=G15,ROW(G15:$G$100)-ROW(G15)+1,ROW($G$100)+1),7),2))),"")</f>
        <v xml:space="preserve"> </v>
      </c>
      <c r="P15" s="7" t="str" cm="1">
        <f t="array" ref="P15">IFERROR(IF(G15=G14,P14,CONCATENATE(INDEX(A15:$G$100,SMALL(IF(G15:$G$100=G15,ROW(G15:$G$100)-ROW(G15)+1,ROW($G$100)+1),8),1)," ",INDEX(A15:$G$100,SMALL(IF(G15:$G$100=G15,ROW(G15:$G$100)-ROW(G15)+1,ROW($G$100)+1),8),2))),"")</f>
        <v xml:space="preserve"> </v>
      </c>
      <c r="Q15" s="7" t="str" cm="1">
        <f t="array" ref="Q15">IFERROR(IF(G15=G14,Q14,CONCATENATE(INDEX(A15:$G$100,SMALL(IF(G15:$G$100=G15,ROW(G15:$G$100)-ROW(G15)+1,ROW($G$100)+1),9),1)," ",INDEX(A15:$G$100,SMALL(IF(G15:$G$100=G15,ROW(G15:$G$100)-ROW(G15)+1,ROW($G$100)+1),9),2))),"")</f>
        <v xml:space="preserve"> </v>
      </c>
      <c r="R15" s="7" t="str" cm="1">
        <f t="array" ref="R15">IFERROR(IF(G15=G14,R14,CONCATENATE(INDEX(A15:$G$100,SMALL(IF(G15:$G$100=G15,ROW(G15:$G$100)-ROW(G15)+1,ROW($G$100)+1),10),1)," ",INDEX(A15:$G$100,SMALL(IF(G15:$G$100=G15,ROW(G15:$G$100)-ROW(G15)+1,ROW($G$100)+1),10),2))),"")</f>
        <v xml:space="preserve"> </v>
      </c>
    </row>
    <row r="16" spans="1:18" x14ac:dyDescent="0.2">
      <c r="A16" s="3"/>
      <c r="B16" s="3"/>
      <c r="C16" s="9"/>
      <c r="D16" s="2" t="str">
        <f t="shared" si="1"/>
        <v/>
      </c>
      <c r="E16" s="2" t="str">
        <f t="shared" si="2"/>
        <v/>
      </c>
      <c r="F16" s="2" t="str">
        <f t="shared" si="3"/>
        <v/>
      </c>
      <c r="G16" s="4"/>
      <c r="H16" s="2" t="str">
        <f t="shared" si="0"/>
        <v/>
      </c>
      <c r="I16" s="1" t="str" cm="1">
        <f t="array" ref="I16">IFERROR(IF(G16=G15,I15,CONCATENATE(INDEX(A16:$G$100,SMALL(IF(G16:$G$100=G16,ROW(G16:$G$100)-ROW(G16)+1,ROW($G$100)+1),1),1)," ",INDEX(A16:$G$100,SMALL(IF(G16:$G$100=G16,ROW(G16:$G$100)-ROW(G16)+1,ROW($G$100)+1),1),2))),"")</f>
        <v xml:space="preserve"> </v>
      </c>
      <c r="J16" s="1" t="str" cm="1">
        <f t="array" ref="J16">IFERROR(IF(G16=G15,J15,CONCATENATE(INDEX(A16:$G$100,SMALL(IF(G16:$G$100=G16,ROW(G16:$G$100)-ROW(G16)+1,ROW($G$100)+1),2),1)," ",INDEX(A16:$G$100,SMALL(IF(G16:$G$100=G16,ROW(G16:$G$100)-ROW(G16)+1,ROW($G$100)+1),2),2))),"")</f>
        <v xml:space="preserve"> </v>
      </c>
      <c r="K16" s="1" t="str" cm="1">
        <f t="array" ref="K16">IFERROR(IF(G16=G15,K15,CONCATENATE(INDEX(A16:$G$100,SMALL(IF(G16:$G$100=G16,ROW(G16:$G$100)-ROW(G16)+1,ROW($G$100)+1),3),1)," ",INDEX(A16:$G$100,SMALL(IF(G16:$G$100=G16,ROW(G16:$G$100)-ROW(G16)+1,ROW($G$100)+1),3),2))),"")</f>
        <v xml:space="preserve"> </v>
      </c>
      <c r="L16" s="1" t="str" cm="1">
        <f t="array" ref="L16">IFERROR(IF(G16=G15,L15,CONCATENATE(INDEX(A16:$G$100,SMALL(IF(G16:$G$100=G16,ROW(G16:$G$100)-ROW(G16)+1,ROW($G$100)+1),4),1)," ",INDEX(A16:$G$100,SMALL(IF(G16:$G$100=G16,ROW(G16:$G$100)-ROW(G16)+1,ROW($G$100)+1),4),2))),"")</f>
        <v xml:space="preserve"> </v>
      </c>
      <c r="M16" s="1" t="str" cm="1">
        <f t="array" ref="M16">IFERROR(IF(G16=G15,M15,CONCATENATE(INDEX(A16:$G$100,SMALL(IF(G16:$G$100=G16,ROW(G16:$G$100)-ROW(G16)+1,ROW($G$100)+1),5),1)," ",INDEX(A16:$G$100,SMALL(IF(G16:$G$100=G16,ROW(G16:$G$100)-ROW(G16)+1,ROW($G$100)+1),5),2))),"")</f>
        <v xml:space="preserve"> </v>
      </c>
      <c r="N16" s="1" t="str" cm="1">
        <f t="array" ref="N16">IFERROR(IF(G16=G15,N15,CONCATENATE(INDEX(A16:$G$100,SMALL(IF(G16:$G$100=G16,ROW(G16:$G$100)-ROW(G16)+1,ROW($G$100)+1),6),1)," ",INDEX(A16:$G$100,SMALL(IF(G16:$G$100=G16,ROW(G16:$G$100)-ROW(G16)+1,ROW($G$100)+1),6),2))),"")</f>
        <v xml:space="preserve"> </v>
      </c>
      <c r="O16" s="1" t="str" cm="1">
        <f t="array" ref="O16">IFERROR(IF(G16=G15,O15,CONCATENATE(INDEX(A16:$G$100,SMALL(IF(G16:$G$100=G16,ROW(G16:$G$100)-ROW(G16)+1,ROW($G$100)+1),7),1)," ",INDEX(A16:$G$100,SMALL(IF(G16:$G$100=G16,ROW(G16:$G$100)-ROW(G16)+1,ROW($G$100)+1),7),2))),"")</f>
        <v xml:space="preserve"> </v>
      </c>
      <c r="P16" s="1" t="str" cm="1">
        <f t="array" ref="P16">IFERROR(IF(G16=G15,P15,CONCATENATE(INDEX(A16:$G$100,SMALL(IF(G16:$G$100=G16,ROW(G16:$G$100)-ROW(G16)+1,ROW($G$100)+1),8),1)," ",INDEX(A16:$G$100,SMALL(IF(G16:$G$100=G16,ROW(G16:$G$100)-ROW(G16)+1,ROW($G$100)+1),8),2))),"")</f>
        <v xml:space="preserve"> </v>
      </c>
      <c r="Q16" s="1" t="str" cm="1">
        <f t="array" ref="Q16">IFERROR(IF(G16=G15,Q15,CONCATENATE(INDEX(A16:$G$100,SMALL(IF(G16:$G$100=G16,ROW(G16:$G$100)-ROW(G16)+1,ROW($G$100)+1),9),1)," ",INDEX(A16:$G$100,SMALL(IF(G16:$G$100=G16,ROW(G16:$G$100)-ROW(G16)+1,ROW($G$100)+1),9),2))),"")</f>
        <v xml:space="preserve"> </v>
      </c>
      <c r="R16" s="1" t="str" cm="1">
        <f t="array" ref="R16">IFERROR(IF(G16=G15,R15,CONCATENATE(INDEX(A16:$G$100,SMALL(IF(G16:$G$100=G16,ROW(G16:$G$100)-ROW(G16)+1,ROW($G$100)+1),10),1)," ",INDEX(A16:$G$100,SMALL(IF(G16:$G$100=G16,ROW(G16:$G$100)-ROW(G16)+1,ROW($G$100)+1),10),2))),"")</f>
        <v xml:space="preserve"> </v>
      </c>
    </row>
    <row r="17" spans="1:18" s="7" customFormat="1" x14ac:dyDescent="0.2">
      <c r="A17" s="10"/>
      <c r="B17" s="10"/>
      <c r="C17" s="11"/>
      <c r="D17" s="8" t="str">
        <f t="shared" si="1"/>
        <v/>
      </c>
      <c r="E17" s="8" t="str">
        <f t="shared" si="2"/>
        <v/>
      </c>
      <c r="F17" s="8" t="str">
        <f t="shared" si="3"/>
        <v/>
      </c>
      <c r="G17" s="12"/>
      <c r="H17" s="8" t="str">
        <f t="shared" si="0"/>
        <v/>
      </c>
      <c r="I17" s="7" t="str" cm="1">
        <f t="array" ref="I17">IFERROR(IF(G17=G16,I16,CONCATENATE(INDEX(A17:$G$100,SMALL(IF(G17:$G$100=G17,ROW(G17:$G$100)-ROW(G17)+1,ROW($G$100)+1),1),1)," ",INDEX(A17:$G$100,SMALL(IF(G17:$G$100=G17,ROW(G17:$G$100)-ROW(G17)+1,ROW($G$100)+1),1),2))),"")</f>
        <v xml:space="preserve"> </v>
      </c>
      <c r="J17" s="7" t="str" cm="1">
        <f t="array" ref="J17">IFERROR(IF(G17=G16,J16,CONCATENATE(INDEX(A17:$G$100,SMALL(IF(G17:$G$100=G17,ROW(G17:$G$100)-ROW(G17)+1,ROW($G$100)+1),2),1)," ",INDEX(A17:$G$100,SMALL(IF(G17:$G$100=G17,ROW(G17:$G$100)-ROW(G17)+1,ROW($G$100)+1),2),2))),"")</f>
        <v xml:space="preserve"> </v>
      </c>
      <c r="K17" s="7" t="str" cm="1">
        <f t="array" ref="K17">IFERROR(IF(G17=G16,K16,CONCATENATE(INDEX(A17:$G$100,SMALL(IF(G17:$G$100=G17,ROW(G17:$G$100)-ROW(G17)+1,ROW($G$100)+1),3),1)," ",INDEX(A17:$G$100,SMALL(IF(G17:$G$100=G17,ROW(G17:$G$100)-ROW(G17)+1,ROW($G$100)+1),3),2))),"")</f>
        <v xml:space="preserve"> </v>
      </c>
      <c r="L17" s="7" t="str" cm="1">
        <f t="array" ref="L17">IFERROR(IF(G17=G16,L16,CONCATENATE(INDEX(A17:$G$100,SMALL(IF(G17:$G$100=G17,ROW(G17:$G$100)-ROW(G17)+1,ROW($G$100)+1),4),1)," ",INDEX(A17:$G$100,SMALL(IF(G17:$G$100=G17,ROW(G17:$G$100)-ROW(G17)+1,ROW($G$100)+1),4),2))),"")</f>
        <v xml:space="preserve"> </v>
      </c>
      <c r="M17" s="7" t="str" cm="1">
        <f t="array" ref="M17">IFERROR(IF(G17=G16,M16,CONCATENATE(INDEX(A17:$G$100,SMALL(IF(G17:$G$100=G17,ROW(G17:$G$100)-ROW(G17)+1,ROW($G$100)+1),5),1)," ",INDEX(A17:$G$100,SMALL(IF(G17:$G$100=G17,ROW(G17:$G$100)-ROW(G17)+1,ROW($G$100)+1),5),2))),"")</f>
        <v xml:space="preserve"> </v>
      </c>
      <c r="N17" s="7" t="str" cm="1">
        <f t="array" ref="N17">IFERROR(IF(G17=G16,N16,CONCATENATE(INDEX(A17:$G$100,SMALL(IF(G17:$G$100=G17,ROW(G17:$G$100)-ROW(G17)+1,ROW($G$100)+1),6),1)," ",INDEX(A17:$G$100,SMALL(IF(G17:$G$100=G17,ROW(G17:$G$100)-ROW(G17)+1,ROW($G$100)+1),6),2))),"")</f>
        <v xml:space="preserve"> </v>
      </c>
      <c r="O17" s="7" t="str" cm="1">
        <f t="array" ref="O17">IFERROR(IF(G17=G16,O16,CONCATENATE(INDEX(A17:$G$100,SMALL(IF(G17:$G$100=G17,ROW(G17:$G$100)-ROW(G17)+1,ROW($G$100)+1),7),1)," ",INDEX(A17:$G$100,SMALL(IF(G17:$G$100=G17,ROW(G17:$G$100)-ROW(G17)+1,ROW($G$100)+1),7),2))),"")</f>
        <v xml:space="preserve"> </v>
      </c>
      <c r="P17" s="7" t="str" cm="1">
        <f t="array" ref="P17">IFERROR(IF(G17=G16,P16,CONCATENATE(INDEX(A17:$G$100,SMALL(IF(G17:$G$100=G17,ROW(G17:$G$100)-ROW(G17)+1,ROW($G$100)+1),8),1)," ",INDEX(A17:$G$100,SMALL(IF(G17:$G$100=G17,ROW(G17:$G$100)-ROW(G17)+1,ROW($G$100)+1),8),2))),"")</f>
        <v xml:space="preserve"> </v>
      </c>
      <c r="Q17" s="7" t="str" cm="1">
        <f t="array" ref="Q17">IFERROR(IF(G17=G16,Q16,CONCATENATE(INDEX(A17:$G$100,SMALL(IF(G17:$G$100=G17,ROW(G17:$G$100)-ROW(G17)+1,ROW($G$100)+1),9),1)," ",INDEX(A17:$G$100,SMALL(IF(G17:$G$100=G17,ROW(G17:$G$100)-ROW(G17)+1,ROW($G$100)+1),9),2))),"")</f>
        <v xml:space="preserve"> </v>
      </c>
      <c r="R17" s="7" t="str" cm="1">
        <f t="array" ref="R17">IFERROR(IF(G17=G16,R16,CONCATENATE(INDEX(A17:$G$100,SMALL(IF(G17:$G$100=G17,ROW(G17:$G$100)-ROW(G17)+1,ROW($G$100)+1),10),1)," ",INDEX(A17:$G$100,SMALL(IF(G17:$G$100=G17,ROW(G17:$G$100)-ROW(G17)+1,ROW($G$100)+1),10),2))),"")</f>
        <v xml:space="preserve"> </v>
      </c>
    </row>
    <row r="18" spans="1:18" x14ac:dyDescent="0.2">
      <c r="A18" s="3"/>
      <c r="B18" s="3"/>
      <c r="C18" s="9"/>
      <c r="D18" s="2" t="str">
        <f t="shared" si="1"/>
        <v/>
      </c>
      <c r="E18" s="2" t="str">
        <f t="shared" si="2"/>
        <v/>
      </c>
      <c r="F18" s="2" t="str">
        <f t="shared" si="3"/>
        <v/>
      </c>
      <c r="G18" s="4"/>
      <c r="H18" s="2" t="str">
        <f t="shared" si="0"/>
        <v/>
      </c>
      <c r="I18" s="1" t="str" cm="1">
        <f t="array" ref="I18">IFERROR(IF(G18=G17,I17,CONCATENATE(INDEX(A18:$G$100,SMALL(IF(G18:$G$100=G18,ROW(G18:$G$100)-ROW(G18)+1,ROW($G$100)+1),1),1)," ",INDEX(A18:$G$100,SMALL(IF(G18:$G$100=G18,ROW(G18:$G$100)-ROW(G18)+1,ROW($G$100)+1),1),2))),"")</f>
        <v xml:space="preserve"> </v>
      </c>
      <c r="J18" s="1" t="str" cm="1">
        <f t="array" ref="J18">IFERROR(IF(G18=G17,J17,CONCATENATE(INDEX(A18:$G$100,SMALL(IF(G18:$G$100=G18,ROW(G18:$G$100)-ROW(G18)+1,ROW($G$100)+1),2),1)," ",INDEX(A18:$G$100,SMALL(IF(G18:$G$100=G18,ROW(G18:$G$100)-ROW(G18)+1,ROW($G$100)+1),2),2))),"")</f>
        <v xml:space="preserve"> </v>
      </c>
      <c r="K18" s="1" t="str" cm="1">
        <f t="array" ref="K18">IFERROR(IF(G18=G17,K17,CONCATENATE(INDEX(A18:$G$100,SMALL(IF(G18:$G$100=G18,ROW(G18:$G$100)-ROW(G18)+1,ROW($G$100)+1),3),1)," ",INDEX(A18:$G$100,SMALL(IF(G18:$G$100=G18,ROW(G18:$G$100)-ROW(G18)+1,ROW($G$100)+1),3),2))),"")</f>
        <v xml:space="preserve"> </v>
      </c>
      <c r="L18" s="1" t="str" cm="1">
        <f t="array" ref="L18">IFERROR(IF(G18=G17,L17,CONCATENATE(INDEX(A18:$G$100,SMALL(IF(G18:$G$100=G18,ROW(G18:$G$100)-ROW(G18)+1,ROW($G$100)+1),4),1)," ",INDEX(A18:$G$100,SMALL(IF(G18:$G$100=G18,ROW(G18:$G$100)-ROW(G18)+1,ROW($G$100)+1),4),2))),"")</f>
        <v xml:space="preserve"> </v>
      </c>
      <c r="M18" s="1" t="str" cm="1">
        <f t="array" ref="M18">IFERROR(IF(G18=G17,M17,CONCATENATE(INDEX(A18:$G$100,SMALL(IF(G18:$G$100=G18,ROW(G18:$G$100)-ROW(G18)+1,ROW($G$100)+1),5),1)," ",INDEX(A18:$G$100,SMALL(IF(G18:$G$100=G18,ROW(G18:$G$100)-ROW(G18)+1,ROW($G$100)+1),5),2))),"")</f>
        <v xml:space="preserve"> </v>
      </c>
      <c r="N18" s="1" t="str" cm="1">
        <f t="array" ref="N18">IFERROR(IF(G18=G17,N17,CONCATENATE(INDEX(A18:$G$100,SMALL(IF(G18:$G$100=G18,ROW(G18:$G$100)-ROW(G18)+1,ROW($G$100)+1),6),1)," ",INDEX(A18:$G$100,SMALL(IF(G18:$G$100=G18,ROW(G18:$G$100)-ROW(G18)+1,ROW($G$100)+1),6),2))),"")</f>
        <v xml:space="preserve"> </v>
      </c>
      <c r="O18" s="1" t="str" cm="1">
        <f t="array" ref="O18">IFERROR(IF(G18=G17,O17,CONCATENATE(INDEX(A18:$G$100,SMALL(IF(G18:$G$100=G18,ROW(G18:$G$100)-ROW(G18)+1,ROW($G$100)+1),7),1)," ",INDEX(A18:$G$100,SMALL(IF(G18:$G$100=G18,ROW(G18:$G$100)-ROW(G18)+1,ROW($G$100)+1),7),2))),"")</f>
        <v xml:space="preserve"> </v>
      </c>
      <c r="P18" s="1" t="str" cm="1">
        <f t="array" ref="P18">IFERROR(IF(G18=G17,P17,CONCATENATE(INDEX(A18:$G$100,SMALL(IF(G18:$G$100=G18,ROW(G18:$G$100)-ROW(G18)+1,ROW($G$100)+1),8),1)," ",INDEX(A18:$G$100,SMALL(IF(G18:$G$100=G18,ROW(G18:$G$100)-ROW(G18)+1,ROW($G$100)+1),8),2))),"")</f>
        <v xml:space="preserve"> </v>
      </c>
      <c r="Q18" s="1" t="str" cm="1">
        <f t="array" ref="Q18">IFERROR(IF(G18=G17,Q17,CONCATENATE(INDEX(A18:$G$100,SMALL(IF(G18:$G$100=G18,ROW(G18:$G$100)-ROW(G18)+1,ROW($G$100)+1),9),1)," ",INDEX(A18:$G$100,SMALL(IF(G18:$G$100=G18,ROW(G18:$G$100)-ROW(G18)+1,ROW($G$100)+1),9),2))),"")</f>
        <v xml:space="preserve"> </v>
      </c>
      <c r="R18" s="1" t="str" cm="1">
        <f t="array" ref="R18">IFERROR(IF(G18=G17,R17,CONCATENATE(INDEX(A18:$G$100,SMALL(IF(G18:$G$100=G18,ROW(G18:$G$100)-ROW(G18)+1,ROW($G$100)+1),10),1)," ",INDEX(A18:$G$100,SMALL(IF(G18:$G$100=G18,ROW(G18:$G$100)-ROW(G18)+1,ROW($G$100)+1),10),2))),"")</f>
        <v xml:space="preserve"> </v>
      </c>
    </row>
    <row r="19" spans="1:18" s="7" customFormat="1" x14ac:dyDescent="0.2">
      <c r="A19" s="10"/>
      <c r="B19" s="10"/>
      <c r="C19" s="11"/>
      <c r="D19" s="8" t="str">
        <f t="shared" si="1"/>
        <v/>
      </c>
      <c r="E19" s="8" t="str">
        <f t="shared" si="2"/>
        <v/>
      </c>
      <c r="F19" s="8" t="str">
        <f t="shared" si="3"/>
        <v/>
      </c>
      <c r="G19" s="12"/>
      <c r="H19" s="8" t="str">
        <f t="shared" si="0"/>
        <v/>
      </c>
      <c r="I19" s="7" t="str" cm="1">
        <f t="array" ref="I19">IFERROR(IF(G19=G18,I18,CONCATENATE(INDEX(A19:$G$100,SMALL(IF(G19:$G$100=G19,ROW(G19:$G$100)-ROW(G19)+1,ROW($G$100)+1),1),1)," ",INDEX(A19:$G$100,SMALL(IF(G19:$G$100=G19,ROW(G19:$G$100)-ROW(G19)+1,ROW($G$100)+1),1),2))),"")</f>
        <v xml:space="preserve"> </v>
      </c>
      <c r="J19" s="7" t="str" cm="1">
        <f t="array" ref="J19">IFERROR(IF(G19=G18,J18,CONCATENATE(INDEX(A19:$G$100,SMALL(IF(G19:$G$100=G19,ROW(G19:$G$100)-ROW(G19)+1,ROW($G$100)+1),2),1)," ",INDEX(A19:$G$100,SMALL(IF(G19:$G$100=G19,ROW(G19:$G$100)-ROW(G19)+1,ROW($G$100)+1),2),2))),"")</f>
        <v xml:space="preserve"> </v>
      </c>
      <c r="K19" s="7" t="str" cm="1">
        <f t="array" ref="K19">IFERROR(IF(G19=G18,K18,CONCATENATE(INDEX(A19:$G$100,SMALL(IF(G19:$G$100=G19,ROW(G19:$G$100)-ROW(G19)+1,ROW($G$100)+1),3),1)," ",INDEX(A19:$G$100,SMALL(IF(G19:$G$100=G19,ROW(G19:$G$100)-ROW(G19)+1,ROW($G$100)+1),3),2))),"")</f>
        <v xml:space="preserve"> </v>
      </c>
      <c r="L19" s="7" t="str" cm="1">
        <f t="array" ref="L19">IFERROR(IF(G19=G18,L18,CONCATENATE(INDEX(A19:$G$100,SMALL(IF(G19:$G$100=G19,ROW(G19:$G$100)-ROW(G19)+1,ROW($G$100)+1),4),1)," ",INDEX(A19:$G$100,SMALL(IF(G19:$G$100=G19,ROW(G19:$G$100)-ROW(G19)+1,ROW($G$100)+1),4),2))),"")</f>
        <v xml:space="preserve"> </v>
      </c>
      <c r="M19" s="7" t="str" cm="1">
        <f t="array" ref="M19">IFERROR(IF(G19=G18,M18,CONCATENATE(INDEX(A19:$G$100,SMALL(IF(G19:$G$100=G19,ROW(G19:$G$100)-ROW(G19)+1,ROW($G$100)+1),5),1)," ",INDEX(A19:$G$100,SMALL(IF(G19:$G$100=G19,ROW(G19:$G$100)-ROW(G19)+1,ROW($G$100)+1),5),2))),"")</f>
        <v xml:space="preserve"> </v>
      </c>
      <c r="N19" s="7" t="str" cm="1">
        <f t="array" ref="N19">IFERROR(IF(G19=G18,N18,CONCATENATE(INDEX(A19:$G$100,SMALL(IF(G19:$G$100=G19,ROW(G19:$G$100)-ROW(G19)+1,ROW($G$100)+1),6),1)," ",INDEX(A19:$G$100,SMALL(IF(G19:$G$100=G19,ROW(G19:$G$100)-ROW(G19)+1,ROW($G$100)+1),6),2))),"")</f>
        <v xml:space="preserve"> </v>
      </c>
      <c r="O19" s="7" t="str" cm="1">
        <f t="array" ref="O19">IFERROR(IF(G19=G18,O18,CONCATENATE(INDEX(A19:$G$100,SMALL(IF(G19:$G$100=G19,ROW(G19:$G$100)-ROW(G19)+1,ROW($G$100)+1),7),1)," ",INDEX(A19:$G$100,SMALL(IF(G19:$G$100=G19,ROW(G19:$G$100)-ROW(G19)+1,ROW($G$100)+1),7),2))),"")</f>
        <v xml:space="preserve"> </v>
      </c>
      <c r="P19" s="7" t="str" cm="1">
        <f t="array" ref="P19">IFERROR(IF(G19=G18,P18,CONCATENATE(INDEX(A19:$G$100,SMALL(IF(G19:$G$100=G19,ROW(G19:$G$100)-ROW(G19)+1,ROW($G$100)+1),8),1)," ",INDEX(A19:$G$100,SMALL(IF(G19:$G$100=G19,ROW(G19:$G$100)-ROW(G19)+1,ROW($G$100)+1),8),2))),"")</f>
        <v xml:space="preserve"> </v>
      </c>
      <c r="Q19" s="7" t="str" cm="1">
        <f t="array" ref="Q19">IFERROR(IF(G19=G18,Q18,CONCATENATE(INDEX(A19:$G$100,SMALL(IF(G19:$G$100=G19,ROW(G19:$G$100)-ROW(G19)+1,ROW($G$100)+1),9),1)," ",INDEX(A19:$G$100,SMALL(IF(G19:$G$100=G19,ROW(G19:$G$100)-ROW(G19)+1,ROW($G$100)+1),9),2))),"")</f>
        <v xml:space="preserve"> </v>
      </c>
      <c r="R19" s="7" t="str" cm="1">
        <f t="array" ref="R19">IFERROR(IF(G19=G18,R18,CONCATENATE(INDEX(A19:$G$100,SMALL(IF(G19:$G$100=G19,ROW(G19:$G$100)-ROW(G19)+1,ROW($G$100)+1),10),1)," ",INDEX(A19:$G$100,SMALL(IF(G19:$G$100=G19,ROW(G19:$G$100)-ROW(G19)+1,ROW($G$100)+1),10),2))),"")</f>
        <v xml:space="preserve"> </v>
      </c>
    </row>
    <row r="20" spans="1:18" x14ac:dyDescent="0.2">
      <c r="A20" s="3"/>
      <c r="B20" s="3"/>
      <c r="C20" s="9"/>
      <c r="D20" s="2" t="str">
        <f t="shared" si="1"/>
        <v/>
      </c>
      <c r="E20" s="2" t="str">
        <f t="shared" si="2"/>
        <v/>
      </c>
      <c r="F20" s="2" t="str">
        <f t="shared" si="3"/>
        <v/>
      </c>
      <c r="G20" s="4"/>
      <c r="H20" s="2" t="str">
        <f t="shared" si="0"/>
        <v/>
      </c>
      <c r="I20" s="1" t="str" cm="1">
        <f t="array" ref="I20">IFERROR(IF(G20=G19,I19,CONCATENATE(INDEX(A20:$G$100,SMALL(IF(G20:$G$100=G20,ROW(G20:$G$100)-ROW(G20)+1,ROW($G$100)+1),1),1)," ",INDEX(A20:$G$100,SMALL(IF(G20:$G$100=G20,ROW(G20:$G$100)-ROW(G20)+1,ROW($G$100)+1),1),2))),"")</f>
        <v xml:space="preserve"> </v>
      </c>
      <c r="J20" s="1" t="str" cm="1">
        <f t="array" ref="J20">IFERROR(IF(G20=G19,J19,CONCATENATE(INDEX(A20:$G$100,SMALL(IF(G20:$G$100=G20,ROW(G20:$G$100)-ROW(G20)+1,ROW($G$100)+1),2),1)," ",INDEX(A20:$G$100,SMALL(IF(G20:$G$100=G20,ROW(G20:$G$100)-ROW(G20)+1,ROW($G$100)+1),2),2))),"")</f>
        <v xml:space="preserve"> </v>
      </c>
      <c r="K20" s="1" t="str" cm="1">
        <f t="array" ref="K20">IFERROR(IF(G20=G19,K19,CONCATENATE(INDEX(A20:$G$100,SMALL(IF(G20:$G$100=G20,ROW(G20:$G$100)-ROW(G20)+1,ROW($G$100)+1),3),1)," ",INDEX(A20:$G$100,SMALL(IF(G20:$G$100=G20,ROW(G20:$G$100)-ROW(G20)+1,ROW($G$100)+1),3),2))),"")</f>
        <v xml:space="preserve"> </v>
      </c>
      <c r="L20" s="1" t="str" cm="1">
        <f t="array" ref="L20">IFERROR(IF(G20=G19,L19,CONCATENATE(INDEX(A20:$G$100,SMALL(IF(G20:$G$100=G20,ROW(G20:$G$100)-ROW(G20)+1,ROW($G$100)+1),4),1)," ",INDEX(A20:$G$100,SMALL(IF(G20:$G$100=G20,ROW(G20:$G$100)-ROW(G20)+1,ROW($G$100)+1),4),2))),"")</f>
        <v xml:space="preserve"> </v>
      </c>
      <c r="M20" s="1" t="str" cm="1">
        <f t="array" ref="M20">IFERROR(IF(G20=G19,M19,CONCATENATE(INDEX(A20:$G$100,SMALL(IF(G20:$G$100=G20,ROW(G20:$G$100)-ROW(G20)+1,ROW($G$100)+1),5),1)," ",INDEX(A20:$G$100,SMALL(IF(G20:$G$100=G20,ROW(G20:$G$100)-ROW(G20)+1,ROW($G$100)+1),5),2))),"")</f>
        <v xml:space="preserve"> </v>
      </c>
      <c r="N20" s="1" t="str" cm="1">
        <f t="array" ref="N20">IFERROR(IF(G20=G19,N19,CONCATENATE(INDEX(A20:$G$100,SMALL(IF(G20:$G$100=G20,ROW(G20:$G$100)-ROW(G20)+1,ROW($G$100)+1),6),1)," ",INDEX(A20:$G$100,SMALL(IF(G20:$G$100=G20,ROW(G20:$G$100)-ROW(G20)+1,ROW($G$100)+1),6),2))),"")</f>
        <v xml:space="preserve"> </v>
      </c>
      <c r="O20" s="1" t="str" cm="1">
        <f t="array" ref="O20">IFERROR(IF(G20=G19,O19,CONCATENATE(INDEX(A20:$G$100,SMALL(IF(G20:$G$100=G20,ROW(G20:$G$100)-ROW(G20)+1,ROW($G$100)+1),7),1)," ",INDEX(A20:$G$100,SMALL(IF(G20:$G$100=G20,ROW(G20:$G$100)-ROW(G20)+1,ROW($G$100)+1),7),2))),"")</f>
        <v xml:space="preserve"> </v>
      </c>
      <c r="P20" s="1" t="str" cm="1">
        <f t="array" ref="P20">IFERROR(IF(G20=G19,P19,CONCATENATE(INDEX(A20:$G$100,SMALL(IF(G20:$G$100=G20,ROW(G20:$G$100)-ROW(G20)+1,ROW($G$100)+1),8),1)," ",INDEX(A20:$G$100,SMALL(IF(G20:$G$100=G20,ROW(G20:$G$100)-ROW(G20)+1,ROW($G$100)+1),8),2))),"")</f>
        <v xml:space="preserve"> </v>
      </c>
      <c r="Q20" s="1" t="str" cm="1">
        <f t="array" ref="Q20">IFERROR(IF(G20=G19,Q19,CONCATENATE(INDEX(A20:$G$100,SMALL(IF(G20:$G$100=G20,ROW(G20:$G$100)-ROW(G20)+1,ROW($G$100)+1),9),1)," ",INDEX(A20:$G$100,SMALL(IF(G20:$G$100=G20,ROW(G20:$G$100)-ROW(G20)+1,ROW($G$100)+1),9),2))),"")</f>
        <v xml:space="preserve"> </v>
      </c>
      <c r="R20" s="1" t="str" cm="1">
        <f t="array" ref="R20">IFERROR(IF(G20=G19,R19,CONCATENATE(INDEX(A20:$G$100,SMALL(IF(G20:$G$100=G20,ROW(G20:$G$100)-ROW(G20)+1,ROW($G$100)+1),10),1)," ",INDEX(A20:$G$100,SMALL(IF(G20:$G$100=G20,ROW(G20:$G$100)-ROW(G20)+1,ROW($G$100)+1),10),2))),"")</f>
        <v xml:space="preserve"> </v>
      </c>
    </row>
    <row r="21" spans="1:18" s="7" customFormat="1" x14ac:dyDescent="0.2">
      <c r="A21" s="10"/>
      <c r="B21" s="10"/>
      <c r="C21" s="11"/>
      <c r="D21" s="8" t="str">
        <f t="shared" si="1"/>
        <v/>
      </c>
      <c r="E21" s="8" t="str">
        <f t="shared" si="2"/>
        <v/>
      </c>
      <c r="F21" s="8" t="str">
        <f t="shared" si="3"/>
        <v/>
      </c>
      <c r="G21" s="12"/>
      <c r="H21" s="8" t="str">
        <f t="shared" si="0"/>
        <v/>
      </c>
      <c r="I21" s="7" t="str" cm="1">
        <f t="array" ref="I21">IFERROR(IF(G21=G20,I20,CONCATENATE(INDEX(A21:$G$100,SMALL(IF(G21:$G$100=G21,ROW(G21:$G$100)-ROW(G21)+1,ROW($G$100)+1),1),1)," ",INDEX(A21:$G$100,SMALL(IF(G21:$G$100=G21,ROW(G21:$G$100)-ROW(G21)+1,ROW($G$100)+1),1),2))),"")</f>
        <v xml:space="preserve"> </v>
      </c>
      <c r="J21" s="7" t="str" cm="1">
        <f t="array" ref="J21">IFERROR(IF(G21=G20,J20,CONCATENATE(INDEX(A21:$G$100,SMALL(IF(G21:$G$100=G21,ROW(G21:$G$100)-ROW(G21)+1,ROW($G$100)+1),2),1)," ",INDEX(A21:$G$100,SMALL(IF(G21:$G$100=G21,ROW(G21:$G$100)-ROW(G21)+1,ROW($G$100)+1),2),2))),"")</f>
        <v xml:space="preserve"> </v>
      </c>
      <c r="K21" s="7" t="str" cm="1">
        <f t="array" ref="K21">IFERROR(IF(G21=G20,K20,CONCATENATE(INDEX(A21:$G$100,SMALL(IF(G21:$G$100=G21,ROW(G21:$G$100)-ROW(G21)+1,ROW($G$100)+1),3),1)," ",INDEX(A21:$G$100,SMALL(IF(G21:$G$100=G21,ROW(G21:$G$100)-ROW(G21)+1,ROW($G$100)+1),3),2))),"")</f>
        <v xml:space="preserve"> </v>
      </c>
      <c r="L21" s="7" t="str" cm="1">
        <f t="array" ref="L21">IFERROR(IF(G21=G20,L20,CONCATENATE(INDEX(A21:$G$100,SMALL(IF(G21:$G$100=G21,ROW(G21:$G$100)-ROW(G21)+1,ROW($G$100)+1),4),1)," ",INDEX(A21:$G$100,SMALL(IF(G21:$G$100=G21,ROW(G21:$G$100)-ROW(G21)+1,ROW($G$100)+1),4),2))),"")</f>
        <v xml:space="preserve"> </v>
      </c>
      <c r="M21" s="7" t="str" cm="1">
        <f t="array" ref="M21">IFERROR(IF(G21=G20,M20,CONCATENATE(INDEX(A21:$G$100,SMALL(IF(G21:$G$100=G21,ROW(G21:$G$100)-ROW(G21)+1,ROW($G$100)+1),5),1)," ",INDEX(A21:$G$100,SMALL(IF(G21:$G$100=G21,ROW(G21:$G$100)-ROW(G21)+1,ROW($G$100)+1),5),2))),"")</f>
        <v xml:space="preserve"> </v>
      </c>
      <c r="N21" s="7" t="str" cm="1">
        <f t="array" ref="N21">IFERROR(IF(G21=G20,N20,CONCATENATE(INDEX(A21:$G$100,SMALL(IF(G21:$G$100=G21,ROW(G21:$G$100)-ROW(G21)+1,ROW($G$100)+1),6),1)," ",INDEX(A21:$G$100,SMALL(IF(G21:$G$100=G21,ROW(G21:$G$100)-ROW(G21)+1,ROW($G$100)+1),6),2))),"")</f>
        <v xml:space="preserve"> </v>
      </c>
      <c r="O21" s="7" t="str" cm="1">
        <f t="array" ref="O21">IFERROR(IF(G21=G20,O20,CONCATENATE(INDEX(A21:$G$100,SMALL(IF(G21:$G$100=G21,ROW(G21:$G$100)-ROW(G21)+1,ROW($G$100)+1),7),1)," ",INDEX(A21:$G$100,SMALL(IF(G21:$G$100=G21,ROW(G21:$G$100)-ROW(G21)+1,ROW($G$100)+1),7),2))),"")</f>
        <v xml:space="preserve"> </v>
      </c>
      <c r="P21" s="7" t="str" cm="1">
        <f t="array" ref="P21">IFERROR(IF(G21=G20,P20,CONCATENATE(INDEX(A21:$G$100,SMALL(IF(G21:$G$100=G21,ROW(G21:$G$100)-ROW(G21)+1,ROW($G$100)+1),8),1)," ",INDEX(A21:$G$100,SMALL(IF(G21:$G$100=G21,ROW(G21:$G$100)-ROW(G21)+1,ROW($G$100)+1),8),2))),"")</f>
        <v xml:space="preserve"> </v>
      </c>
      <c r="Q21" s="7" t="str" cm="1">
        <f t="array" ref="Q21">IFERROR(IF(G21=G20,Q20,CONCATENATE(INDEX(A21:$G$100,SMALL(IF(G21:$G$100=G21,ROW(G21:$G$100)-ROW(G21)+1,ROW($G$100)+1),9),1)," ",INDEX(A21:$G$100,SMALL(IF(G21:$G$100=G21,ROW(G21:$G$100)-ROW(G21)+1,ROW($G$100)+1),9),2))),"")</f>
        <v xml:space="preserve"> </v>
      </c>
      <c r="R21" s="7" t="str" cm="1">
        <f t="array" ref="R21">IFERROR(IF(G21=G20,R20,CONCATENATE(INDEX(A21:$G$100,SMALL(IF(G21:$G$100=G21,ROW(G21:$G$100)-ROW(G21)+1,ROW($G$100)+1),10),1)," ",INDEX(A21:$G$100,SMALL(IF(G21:$G$100=G21,ROW(G21:$G$100)-ROW(G21)+1,ROW($G$100)+1),10),2))),"")</f>
        <v xml:space="preserve"> </v>
      </c>
    </row>
    <row r="22" spans="1:18" x14ac:dyDescent="0.2">
      <c r="A22" s="3"/>
      <c r="B22" s="3"/>
      <c r="C22" s="9"/>
      <c r="D22" s="2" t="str">
        <f t="shared" si="1"/>
        <v/>
      </c>
      <c r="E22" s="2" t="str">
        <f t="shared" si="2"/>
        <v/>
      </c>
      <c r="F22" s="2" t="str">
        <f t="shared" si="3"/>
        <v/>
      </c>
      <c r="G22" s="4"/>
      <c r="H22" s="2" t="str">
        <f t="shared" si="0"/>
        <v/>
      </c>
      <c r="I22" s="1" t="str" cm="1">
        <f t="array" ref="I22">IFERROR(IF(G22=G21,I21,CONCATENATE(INDEX(A22:$G$100,SMALL(IF(G22:$G$100=G22,ROW(G22:$G$100)-ROW(G22)+1,ROW($G$100)+1),1),1)," ",INDEX(A22:$G$100,SMALL(IF(G22:$G$100=G22,ROW(G22:$G$100)-ROW(G22)+1,ROW($G$100)+1),1),2))),"")</f>
        <v xml:space="preserve"> </v>
      </c>
      <c r="J22" s="1" t="str" cm="1">
        <f t="array" ref="J22">IFERROR(IF(G22=G21,J21,CONCATENATE(INDEX(A22:$G$100,SMALL(IF(G22:$G$100=G22,ROW(G22:$G$100)-ROW(G22)+1,ROW($G$100)+1),2),1)," ",INDEX(A22:$G$100,SMALL(IF(G22:$G$100=G22,ROW(G22:$G$100)-ROW(G22)+1,ROW($G$100)+1),2),2))),"")</f>
        <v xml:space="preserve"> </v>
      </c>
      <c r="K22" s="1" t="str" cm="1">
        <f t="array" ref="K22">IFERROR(IF(G22=G21,K21,CONCATENATE(INDEX(A22:$G$100,SMALL(IF(G22:$G$100=G22,ROW(G22:$G$100)-ROW(G22)+1,ROW($G$100)+1),3),1)," ",INDEX(A22:$G$100,SMALL(IF(G22:$G$100=G22,ROW(G22:$G$100)-ROW(G22)+1,ROW($G$100)+1),3),2))),"")</f>
        <v xml:space="preserve"> </v>
      </c>
      <c r="L22" s="1" t="str" cm="1">
        <f t="array" ref="L22">IFERROR(IF(G22=G21,L21,CONCATENATE(INDEX(A22:$G$100,SMALL(IF(G22:$G$100=G22,ROW(G22:$G$100)-ROW(G22)+1,ROW($G$100)+1),4),1)," ",INDEX(A22:$G$100,SMALL(IF(G22:$G$100=G22,ROW(G22:$G$100)-ROW(G22)+1,ROW($G$100)+1),4),2))),"")</f>
        <v xml:space="preserve"> </v>
      </c>
      <c r="M22" s="1" t="str" cm="1">
        <f t="array" ref="M22">IFERROR(IF(G22=G21,M21,CONCATENATE(INDEX(A22:$G$100,SMALL(IF(G22:$G$100=G22,ROW(G22:$G$100)-ROW(G22)+1,ROW($G$100)+1),5),1)," ",INDEX(A22:$G$100,SMALL(IF(G22:$G$100=G22,ROW(G22:$G$100)-ROW(G22)+1,ROW($G$100)+1),5),2))),"")</f>
        <v xml:space="preserve"> </v>
      </c>
      <c r="N22" s="1" t="str" cm="1">
        <f t="array" ref="N22">IFERROR(IF(G22=G21,N21,CONCATENATE(INDEX(A22:$G$100,SMALL(IF(G22:$G$100=G22,ROW(G22:$G$100)-ROW(G22)+1,ROW($G$100)+1),6),1)," ",INDEX(A22:$G$100,SMALL(IF(G22:$G$100=G22,ROW(G22:$G$100)-ROW(G22)+1,ROW($G$100)+1),6),2))),"")</f>
        <v xml:space="preserve"> </v>
      </c>
      <c r="O22" s="1" t="str" cm="1">
        <f t="array" ref="O22">IFERROR(IF(G22=G21,O21,CONCATENATE(INDEX(A22:$G$100,SMALL(IF(G22:$G$100=G22,ROW(G22:$G$100)-ROW(G22)+1,ROW($G$100)+1),7),1)," ",INDEX(A22:$G$100,SMALL(IF(G22:$G$100=G22,ROW(G22:$G$100)-ROW(G22)+1,ROW($G$100)+1),7),2))),"")</f>
        <v xml:space="preserve"> </v>
      </c>
      <c r="P22" s="1" t="str" cm="1">
        <f t="array" ref="P22">IFERROR(IF(G22=G21,P21,CONCATENATE(INDEX(A22:$G$100,SMALL(IF(G22:$G$100=G22,ROW(G22:$G$100)-ROW(G22)+1,ROW($G$100)+1),8),1)," ",INDEX(A22:$G$100,SMALL(IF(G22:$G$100=G22,ROW(G22:$G$100)-ROW(G22)+1,ROW($G$100)+1),8),2))),"")</f>
        <v xml:space="preserve"> </v>
      </c>
      <c r="Q22" s="1" t="str" cm="1">
        <f t="array" ref="Q22">IFERROR(IF(G22=G21,Q21,CONCATENATE(INDEX(A22:$G$100,SMALL(IF(G22:$G$100=G22,ROW(G22:$G$100)-ROW(G22)+1,ROW($G$100)+1),9),1)," ",INDEX(A22:$G$100,SMALL(IF(G22:$G$100=G22,ROW(G22:$G$100)-ROW(G22)+1,ROW($G$100)+1),9),2))),"")</f>
        <v xml:space="preserve"> </v>
      </c>
      <c r="R22" s="1" t="str" cm="1">
        <f t="array" ref="R22">IFERROR(IF(G22=G21,R21,CONCATENATE(INDEX(A22:$G$100,SMALL(IF(G22:$G$100=G22,ROW(G22:$G$100)-ROW(G22)+1,ROW($G$100)+1),10),1)," ",INDEX(A22:$G$100,SMALL(IF(G22:$G$100=G22,ROW(G22:$G$100)-ROW(G22)+1,ROW($G$100)+1),10),2))),"")</f>
        <v xml:space="preserve"> </v>
      </c>
    </row>
    <row r="23" spans="1:18" s="7" customFormat="1" x14ac:dyDescent="0.2">
      <c r="A23" s="10"/>
      <c r="B23" s="10"/>
      <c r="C23" s="11"/>
      <c r="D23" s="8" t="str">
        <f t="shared" si="1"/>
        <v/>
      </c>
      <c r="E23" s="8" t="str">
        <f t="shared" si="2"/>
        <v/>
      </c>
      <c r="F23" s="8" t="str">
        <f t="shared" si="3"/>
        <v/>
      </c>
      <c r="G23" s="12"/>
      <c r="H23" s="8" t="str">
        <f t="shared" si="0"/>
        <v/>
      </c>
      <c r="I23" s="7" t="str" cm="1">
        <f t="array" ref="I23">IFERROR(IF(G23=G22,I22,CONCATENATE(INDEX(A23:$G$100,SMALL(IF(G23:$G$100=G23,ROW(G23:$G$100)-ROW(G23)+1,ROW($G$100)+1),1),1)," ",INDEX(A23:$G$100,SMALL(IF(G23:$G$100=G23,ROW(G23:$G$100)-ROW(G23)+1,ROW($G$100)+1),1),2))),"")</f>
        <v xml:space="preserve"> </v>
      </c>
      <c r="J23" s="7" t="str" cm="1">
        <f t="array" ref="J23">IFERROR(IF(G23=G22,J22,CONCATENATE(INDEX(A23:$G$100,SMALL(IF(G23:$G$100=G23,ROW(G23:$G$100)-ROW(G23)+1,ROW($G$100)+1),2),1)," ",INDEX(A23:$G$100,SMALL(IF(G23:$G$100=G23,ROW(G23:$G$100)-ROW(G23)+1,ROW($G$100)+1),2),2))),"")</f>
        <v xml:space="preserve"> </v>
      </c>
      <c r="K23" s="7" t="str" cm="1">
        <f t="array" ref="K23">IFERROR(IF(G23=G22,K22,CONCATENATE(INDEX(A23:$G$100,SMALL(IF(G23:$G$100=G23,ROW(G23:$G$100)-ROW(G23)+1,ROW($G$100)+1),3),1)," ",INDEX(A23:$G$100,SMALL(IF(G23:$G$100=G23,ROW(G23:$G$100)-ROW(G23)+1,ROW($G$100)+1),3),2))),"")</f>
        <v xml:space="preserve"> </v>
      </c>
      <c r="L23" s="7" t="str" cm="1">
        <f t="array" ref="L23">IFERROR(IF(G23=G22,L22,CONCATENATE(INDEX(A23:$G$100,SMALL(IF(G23:$G$100=G23,ROW(G23:$G$100)-ROW(G23)+1,ROW($G$100)+1),4),1)," ",INDEX(A23:$G$100,SMALL(IF(G23:$G$100=G23,ROW(G23:$G$100)-ROW(G23)+1,ROW($G$100)+1),4),2))),"")</f>
        <v xml:space="preserve"> </v>
      </c>
      <c r="M23" s="7" t="str" cm="1">
        <f t="array" ref="M23">IFERROR(IF(G23=G22,M22,CONCATENATE(INDEX(A23:$G$100,SMALL(IF(G23:$G$100=G23,ROW(G23:$G$100)-ROW(G23)+1,ROW($G$100)+1),5),1)," ",INDEX(A23:$G$100,SMALL(IF(G23:$G$100=G23,ROW(G23:$G$100)-ROW(G23)+1,ROW($G$100)+1),5),2))),"")</f>
        <v xml:space="preserve"> </v>
      </c>
      <c r="N23" s="7" t="str" cm="1">
        <f t="array" ref="N23">IFERROR(IF(G23=G22,N22,CONCATENATE(INDEX(A23:$G$100,SMALL(IF(G23:$G$100=G23,ROW(G23:$G$100)-ROW(G23)+1,ROW($G$100)+1),6),1)," ",INDEX(A23:$G$100,SMALL(IF(G23:$G$100=G23,ROW(G23:$G$100)-ROW(G23)+1,ROW($G$100)+1),6),2))),"")</f>
        <v xml:space="preserve"> </v>
      </c>
      <c r="O23" s="7" t="str" cm="1">
        <f t="array" ref="O23">IFERROR(IF(G23=G22,O22,CONCATENATE(INDEX(A23:$G$100,SMALL(IF(G23:$G$100=G23,ROW(G23:$G$100)-ROW(G23)+1,ROW($G$100)+1),7),1)," ",INDEX(A23:$G$100,SMALL(IF(G23:$G$100=G23,ROW(G23:$G$100)-ROW(G23)+1,ROW($G$100)+1),7),2))),"")</f>
        <v xml:space="preserve"> </v>
      </c>
      <c r="P23" s="7" t="str" cm="1">
        <f t="array" ref="P23">IFERROR(IF(G23=G22,P22,CONCATENATE(INDEX(A23:$G$100,SMALL(IF(G23:$G$100=G23,ROW(G23:$G$100)-ROW(G23)+1,ROW($G$100)+1),8),1)," ",INDEX(A23:$G$100,SMALL(IF(G23:$G$100=G23,ROW(G23:$G$100)-ROW(G23)+1,ROW($G$100)+1),8),2))),"")</f>
        <v xml:space="preserve"> </v>
      </c>
      <c r="Q23" s="7" t="str" cm="1">
        <f t="array" ref="Q23">IFERROR(IF(G23=G22,Q22,CONCATENATE(INDEX(A23:$G$100,SMALL(IF(G23:$G$100=G23,ROW(G23:$G$100)-ROW(G23)+1,ROW($G$100)+1),9),1)," ",INDEX(A23:$G$100,SMALL(IF(G23:$G$100=G23,ROW(G23:$G$100)-ROW(G23)+1,ROW($G$100)+1),9),2))),"")</f>
        <v xml:space="preserve"> </v>
      </c>
      <c r="R23" s="7" t="str" cm="1">
        <f t="array" ref="R23">IFERROR(IF(G23=G22,R22,CONCATENATE(INDEX(A23:$G$100,SMALL(IF(G23:$G$100=G23,ROW(G23:$G$100)-ROW(G23)+1,ROW($G$100)+1),10),1)," ",INDEX(A23:$G$100,SMALL(IF(G23:$G$100=G23,ROW(G23:$G$100)-ROW(G23)+1,ROW($G$100)+1),10),2))),"")</f>
        <v xml:space="preserve"> </v>
      </c>
    </row>
    <row r="24" spans="1:18" x14ac:dyDescent="0.2">
      <c r="A24" s="3"/>
      <c r="B24" s="3"/>
      <c r="C24" s="9"/>
      <c r="D24" s="2" t="str">
        <f t="shared" si="1"/>
        <v/>
      </c>
      <c r="E24" s="2" t="str">
        <f t="shared" si="2"/>
        <v/>
      </c>
      <c r="F24" s="2" t="str">
        <f t="shared" si="3"/>
        <v/>
      </c>
      <c r="G24" s="4"/>
      <c r="H24" s="2" t="str">
        <f>IF(A24="","",COUNTIF($G$2:$G$100,G24))</f>
        <v/>
      </c>
      <c r="I24" s="1" t="str" cm="1">
        <f t="array" ref="I24">IFERROR(IF(G24=G23,I23,CONCATENATE(INDEX(A24:$G$100,SMALL(IF(G24:$G$100=G24,ROW(G24:$G$100)-ROW(G24)+1,ROW($G$100)+1),1),1)," ",INDEX(A24:$G$100,SMALL(IF(G24:$G$100=G24,ROW(G24:$G$100)-ROW(G24)+1,ROW($G$100)+1),1),2))),"")</f>
        <v xml:space="preserve"> </v>
      </c>
      <c r="J24" s="1" t="str" cm="1">
        <f t="array" ref="J24">IFERROR(IF(G24=G23,J23,CONCATENATE(INDEX(A24:$G$100,SMALL(IF(G24:$G$100=G24,ROW(G24:$G$100)-ROW(G24)+1,ROW($G$100)+1),2),1)," ",INDEX(A24:$G$100,SMALL(IF(G24:$G$100=G24,ROW(G24:$G$100)-ROW(G24)+1,ROW($G$100)+1),2),2))),"")</f>
        <v xml:space="preserve"> </v>
      </c>
      <c r="K24" s="1" t="str" cm="1">
        <f t="array" ref="K24">IFERROR(IF(G24=G23,K23,CONCATENATE(INDEX(A24:$G$100,SMALL(IF(G24:$G$100=G24,ROW(G24:$G$100)-ROW(G24)+1,ROW($G$100)+1),3),1)," ",INDEX(A24:$G$100,SMALL(IF(G24:$G$100=G24,ROW(G24:$G$100)-ROW(G24)+1,ROW($G$100)+1),3),2))),"")</f>
        <v xml:space="preserve"> </v>
      </c>
      <c r="L24" s="1" t="str" cm="1">
        <f t="array" ref="L24">IFERROR(IF(G24=G23,L23,CONCATENATE(INDEX(A24:$G$100,SMALL(IF(G24:$G$100=G24,ROW(G24:$G$100)-ROW(G24)+1,ROW($G$100)+1),4),1)," ",INDEX(A24:$G$100,SMALL(IF(G24:$G$100=G24,ROW(G24:$G$100)-ROW(G24)+1,ROW($G$100)+1),4),2))),"")</f>
        <v xml:space="preserve"> </v>
      </c>
      <c r="M24" s="1" t="str" cm="1">
        <f t="array" ref="M24">IFERROR(IF(G24=G23,M23,CONCATENATE(INDEX(A24:$G$100,SMALL(IF(G24:$G$100=G24,ROW(G24:$G$100)-ROW(G24)+1,ROW($G$100)+1),5),1)," ",INDEX(A24:$G$100,SMALL(IF(G24:$G$100=G24,ROW(G24:$G$100)-ROW(G24)+1,ROW($G$100)+1),5),2))),"")</f>
        <v xml:space="preserve"> </v>
      </c>
      <c r="N24" s="1" t="str" cm="1">
        <f t="array" ref="N24">IFERROR(IF(G24=G23,N23,CONCATENATE(INDEX(A24:$G$100,SMALL(IF(G24:$G$100=G24,ROW(G24:$G$100)-ROW(G24)+1,ROW($G$100)+1),6),1)," ",INDEX(A24:$G$100,SMALL(IF(G24:$G$100=G24,ROW(G24:$G$100)-ROW(G24)+1,ROW($G$100)+1),6),2))),"")</f>
        <v xml:space="preserve"> </v>
      </c>
      <c r="O24" s="1" t="str" cm="1">
        <f t="array" ref="O24">IFERROR(IF(G24=G23,O23,CONCATENATE(INDEX(A24:$G$100,SMALL(IF(G24:$G$100=G24,ROW(G24:$G$100)-ROW(G24)+1,ROW($G$100)+1),7),1)," ",INDEX(A24:$G$100,SMALL(IF(G24:$G$100=G24,ROW(G24:$G$100)-ROW(G24)+1,ROW($G$100)+1),7),2))),"")</f>
        <v xml:space="preserve"> </v>
      </c>
      <c r="P24" s="1" t="str" cm="1">
        <f t="array" ref="P24">IFERROR(IF(G24=G23,P23,CONCATENATE(INDEX(A24:$G$100,SMALL(IF(G24:$G$100=G24,ROW(G24:$G$100)-ROW(G24)+1,ROW($G$100)+1),8),1)," ",INDEX(A24:$G$100,SMALL(IF(G24:$G$100=G24,ROW(G24:$G$100)-ROW(G24)+1,ROW($G$100)+1),8),2))),"")</f>
        <v xml:space="preserve"> </v>
      </c>
      <c r="Q24" s="1" t="str" cm="1">
        <f t="array" ref="Q24">IFERROR(IF(G24=G23,Q23,CONCATENATE(INDEX(A24:$G$100,SMALL(IF(G24:$G$100=G24,ROW(G24:$G$100)-ROW(G24)+1,ROW($G$100)+1),9),1)," ",INDEX(A24:$G$100,SMALL(IF(G24:$G$100=G24,ROW(G24:$G$100)-ROW(G24)+1,ROW($G$100)+1),9),2))),"")</f>
        <v xml:space="preserve"> </v>
      </c>
      <c r="R24" s="1" t="str" cm="1">
        <f t="array" ref="R24">IFERROR(IF(G24=G23,R23,CONCATENATE(INDEX(A24:$G$100,SMALL(IF(G24:$G$100=G24,ROW(G24:$G$100)-ROW(G24)+1,ROW($G$100)+1),10),1)," ",INDEX(A24:$G$100,SMALL(IF(G24:$G$100=G24,ROW(G24:$G$100)-ROW(G24)+1,ROW($G$100)+1),10),2))),"")</f>
        <v xml:space="preserve"> </v>
      </c>
    </row>
    <row r="25" spans="1:18" s="7" customFormat="1" x14ac:dyDescent="0.2">
      <c r="A25" s="10"/>
      <c r="B25" s="10"/>
      <c r="C25" s="10"/>
      <c r="D25" s="8" t="str">
        <f t="shared" si="1"/>
        <v/>
      </c>
      <c r="E25" s="8" t="str">
        <f t="shared" si="2"/>
        <v/>
      </c>
      <c r="F25" s="8" t="str">
        <f t="shared" si="3"/>
        <v/>
      </c>
      <c r="G25" s="12"/>
      <c r="H25" s="8" t="str">
        <f t="shared" si="0"/>
        <v/>
      </c>
      <c r="I25" s="7" t="str" cm="1">
        <f t="array" ref="I25">IFERROR(IF(G25=G24,I24,CONCATENATE(INDEX(A25:$G$100,SMALL(IF(G25:$G$100=G25,ROW(G25:$G$100)-ROW(G25)+1,ROW($G$100)+1),1),1)," ",INDEX(A25:$G$100,SMALL(IF(G25:$G$100=G25,ROW(G25:$G$100)-ROW(G25)+1,ROW($G$100)+1),1),2))),"")</f>
        <v xml:space="preserve"> </v>
      </c>
      <c r="J25" s="7" t="str" cm="1">
        <f t="array" ref="J25">IFERROR(IF(G25=G24,J24,CONCATENATE(INDEX(A25:$G$100,SMALL(IF(G25:$G$100=G25,ROW(G25:$G$100)-ROW(G25)+1,ROW($G$100)+1),2),1)," ",INDEX(A25:$G$100,SMALL(IF(G25:$G$100=G25,ROW(G25:$G$100)-ROW(G25)+1,ROW($G$100)+1),2),2))),"")</f>
        <v xml:space="preserve"> </v>
      </c>
      <c r="K25" s="7" t="str" cm="1">
        <f t="array" ref="K25">IFERROR(IF(G25=G24,K24,CONCATENATE(INDEX(A25:$G$100,SMALL(IF(G25:$G$100=G25,ROW(G25:$G$100)-ROW(G25)+1,ROW($G$100)+1),3),1)," ",INDEX(A25:$G$100,SMALL(IF(G25:$G$100=G25,ROW(G25:$G$100)-ROW(G25)+1,ROW($G$100)+1),3),2))),"")</f>
        <v xml:space="preserve"> </v>
      </c>
      <c r="L25" s="7" t="str" cm="1">
        <f t="array" ref="L25">IFERROR(IF(G25=G24,L24,CONCATENATE(INDEX(A25:$G$100,SMALL(IF(G25:$G$100=G25,ROW(G25:$G$100)-ROW(G25)+1,ROW($G$100)+1),4),1)," ",INDEX(A25:$G$100,SMALL(IF(G25:$G$100=G25,ROW(G25:$G$100)-ROW(G25)+1,ROW($G$100)+1),4),2))),"")</f>
        <v xml:space="preserve"> </v>
      </c>
      <c r="M25" s="7" t="str" cm="1">
        <f t="array" ref="M25">IFERROR(IF(G25=G24,M24,CONCATENATE(INDEX(A25:$G$100,SMALL(IF(G25:$G$100=G25,ROW(G25:$G$100)-ROW(G25)+1,ROW($G$100)+1),5),1)," ",INDEX(A25:$G$100,SMALL(IF(G25:$G$100=G25,ROW(G25:$G$100)-ROW(G25)+1,ROW($G$100)+1),5),2))),"")</f>
        <v xml:space="preserve"> </v>
      </c>
      <c r="N25" s="7" t="str" cm="1">
        <f t="array" ref="N25">IFERROR(IF(G25=G24,N24,CONCATENATE(INDEX(A25:$G$100,SMALL(IF(G25:$G$100=G25,ROW(G25:$G$100)-ROW(G25)+1,ROW($G$100)+1),6),1)," ",INDEX(A25:$G$100,SMALL(IF(G25:$G$100=G25,ROW(G25:$G$100)-ROW(G25)+1,ROW($G$100)+1),6),2))),"")</f>
        <v xml:space="preserve"> </v>
      </c>
      <c r="O25" s="7" t="str" cm="1">
        <f t="array" ref="O25">IFERROR(IF(G25=G24,O24,CONCATENATE(INDEX(A25:$G$100,SMALL(IF(G25:$G$100=G25,ROW(G25:$G$100)-ROW(G25)+1,ROW($G$100)+1),7),1)," ",INDEX(A25:$G$100,SMALL(IF(G25:$G$100=G25,ROW(G25:$G$100)-ROW(G25)+1,ROW($G$100)+1),7),2))),"")</f>
        <v xml:space="preserve"> </v>
      </c>
      <c r="P25" s="7" t="str" cm="1">
        <f t="array" ref="P25">IFERROR(IF(G25=G24,P24,CONCATENATE(INDEX(A25:$G$100,SMALL(IF(G25:$G$100=G25,ROW(G25:$G$100)-ROW(G25)+1,ROW($G$100)+1),8),1)," ",INDEX(A25:$G$100,SMALL(IF(G25:$G$100=G25,ROW(G25:$G$100)-ROW(G25)+1,ROW($G$100)+1),8),2))),"")</f>
        <v xml:space="preserve"> </v>
      </c>
      <c r="Q25" s="7" t="str" cm="1">
        <f t="array" ref="Q25">IFERROR(IF(G25=G24,Q24,CONCATENATE(INDEX(A25:$G$100,SMALL(IF(G25:$G$100=G25,ROW(G25:$G$100)-ROW(G25)+1,ROW($G$100)+1),9),1)," ",INDEX(A25:$G$100,SMALL(IF(G25:$G$100=G25,ROW(G25:$G$100)-ROW(G25)+1,ROW($G$100)+1),9),2))),"")</f>
        <v xml:space="preserve"> </v>
      </c>
      <c r="R25" s="7" t="str" cm="1">
        <f t="array" ref="R25">IFERROR(IF(G25=G24,R24,CONCATENATE(INDEX(A25:$G$100,SMALL(IF(G25:$G$100=G25,ROW(G25:$G$100)-ROW(G25)+1,ROW($G$100)+1),10),1)," ",INDEX(A25:$G$100,SMALL(IF(G25:$G$100=G25,ROW(G25:$G$100)-ROW(G25)+1,ROW($G$100)+1),10),2))),"")</f>
        <v xml:space="preserve"> </v>
      </c>
    </row>
    <row r="26" spans="1:18" x14ac:dyDescent="0.2">
      <c r="A26" s="3"/>
      <c r="B26" s="3"/>
      <c r="C26" s="3"/>
      <c r="D26" s="2" t="str">
        <f t="shared" si="1"/>
        <v/>
      </c>
      <c r="E26" s="2" t="str">
        <f t="shared" si="2"/>
        <v/>
      </c>
      <c r="F26" s="2" t="str">
        <f t="shared" si="3"/>
        <v/>
      </c>
      <c r="G26" s="4"/>
      <c r="H26" s="2" t="str">
        <f t="shared" si="0"/>
        <v/>
      </c>
      <c r="I26" s="1" t="str" cm="1">
        <f t="array" ref="I26">IFERROR(IF(G26=G25,I25,CONCATENATE(INDEX(A26:$G$100,SMALL(IF(G26:$G$100=G26,ROW(G26:$G$100)-ROW(G26)+1,ROW($G$100)+1),1),1)," ",INDEX(A26:$G$100,SMALL(IF(G26:$G$100=G26,ROW(G26:$G$100)-ROW(G26)+1,ROW($G$100)+1),1),2))),"")</f>
        <v xml:space="preserve"> </v>
      </c>
      <c r="J26" s="1" t="str" cm="1">
        <f t="array" ref="J26">IFERROR(IF(G26=G25,J25,CONCATENATE(INDEX(A26:$G$100,SMALL(IF(G26:$G$100=G26,ROW(G26:$G$100)-ROW(G26)+1,ROW($G$100)+1),2),1)," ",INDEX(A26:$G$100,SMALL(IF(G26:$G$100=G26,ROW(G26:$G$100)-ROW(G26)+1,ROW($G$100)+1),2),2))),"")</f>
        <v xml:space="preserve"> </v>
      </c>
      <c r="K26" s="1" t="str" cm="1">
        <f t="array" ref="K26">IFERROR(IF(G26=G25,K25,CONCATENATE(INDEX(A26:$G$100,SMALL(IF(G26:$G$100=G26,ROW(G26:$G$100)-ROW(G26)+1,ROW($G$100)+1),3),1)," ",INDEX(A26:$G$100,SMALL(IF(G26:$G$100=G26,ROW(G26:$G$100)-ROW(G26)+1,ROW($G$100)+1),3),2))),"")</f>
        <v xml:space="preserve"> </v>
      </c>
      <c r="L26" s="1" t="str" cm="1">
        <f t="array" ref="L26">IFERROR(IF(G26=G25,L25,CONCATENATE(INDEX(A26:$G$100,SMALL(IF(G26:$G$100=G26,ROW(G26:$G$100)-ROW(G26)+1,ROW($G$100)+1),4),1)," ",INDEX(A26:$G$100,SMALL(IF(G26:$G$100=G26,ROW(G26:$G$100)-ROW(G26)+1,ROW($G$100)+1),4),2))),"")</f>
        <v xml:space="preserve"> </v>
      </c>
      <c r="M26" s="1" t="str" cm="1">
        <f t="array" ref="M26">IFERROR(IF(G26=G25,M25,CONCATENATE(INDEX(A26:$G$100,SMALL(IF(G26:$G$100=G26,ROW(G26:$G$100)-ROW(G26)+1,ROW($G$100)+1),5),1)," ",INDEX(A26:$G$100,SMALL(IF(G26:$G$100=G26,ROW(G26:$G$100)-ROW(G26)+1,ROW($G$100)+1),5),2))),"")</f>
        <v xml:space="preserve"> </v>
      </c>
      <c r="N26" s="1" t="str" cm="1">
        <f t="array" ref="N26">IFERROR(IF(G26=G25,N25,CONCATENATE(INDEX(A26:$G$100,SMALL(IF(G26:$G$100=G26,ROW(G26:$G$100)-ROW(G26)+1,ROW($G$100)+1),6),1)," ",INDEX(A26:$G$100,SMALL(IF(G26:$G$100=G26,ROW(G26:$G$100)-ROW(G26)+1,ROW($G$100)+1),6),2))),"")</f>
        <v xml:space="preserve"> </v>
      </c>
      <c r="O26" s="1" t="str" cm="1">
        <f t="array" ref="O26">IFERROR(IF(G26=G25,O25,CONCATENATE(INDEX(A26:$G$100,SMALL(IF(G26:$G$100=G26,ROW(G26:$G$100)-ROW(G26)+1,ROW($G$100)+1),7),1)," ",INDEX(A26:$G$100,SMALL(IF(G26:$G$100=G26,ROW(G26:$G$100)-ROW(G26)+1,ROW($G$100)+1),7),2))),"")</f>
        <v xml:space="preserve"> </v>
      </c>
      <c r="P26" s="1" t="str" cm="1">
        <f t="array" ref="P26">IFERROR(IF(G26=G25,P25,CONCATENATE(INDEX(A26:$G$100,SMALL(IF(G26:$G$100=G26,ROW(G26:$G$100)-ROW(G26)+1,ROW($G$100)+1),8),1)," ",INDEX(A26:$G$100,SMALL(IF(G26:$G$100=G26,ROW(G26:$G$100)-ROW(G26)+1,ROW($G$100)+1),8),2))),"")</f>
        <v xml:space="preserve"> </v>
      </c>
      <c r="Q26" s="1" t="str" cm="1">
        <f t="array" ref="Q26">IFERROR(IF(G26=G25,Q25,CONCATENATE(INDEX(A26:$G$100,SMALL(IF(G26:$G$100=G26,ROW(G26:$G$100)-ROW(G26)+1,ROW($G$100)+1),9),1)," ",INDEX(A26:$G$100,SMALL(IF(G26:$G$100=G26,ROW(G26:$G$100)-ROW(G26)+1,ROW($G$100)+1),9),2))),"")</f>
        <v xml:space="preserve"> </v>
      </c>
      <c r="R26" s="1" t="str" cm="1">
        <f t="array" ref="R26">IFERROR(IF(G26=G25,R25,CONCATENATE(INDEX(A26:$G$100,SMALL(IF(G26:$G$100=G26,ROW(G26:$G$100)-ROW(G26)+1,ROW($G$100)+1),10),1)," ",INDEX(A26:$G$100,SMALL(IF(G26:$G$100=G26,ROW(G26:$G$100)-ROW(G26)+1,ROW($G$100)+1),10),2))),"")</f>
        <v xml:space="preserve"> </v>
      </c>
    </row>
    <row r="27" spans="1:18" s="7" customFormat="1" x14ac:dyDescent="0.2">
      <c r="A27" s="10"/>
      <c r="B27" s="10"/>
      <c r="C27" s="10"/>
      <c r="D27" s="8" t="str">
        <f t="shared" si="1"/>
        <v/>
      </c>
      <c r="E27" s="8" t="str">
        <f t="shared" si="2"/>
        <v/>
      </c>
      <c r="F27" s="8" t="str">
        <f t="shared" si="3"/>
        <v/>
      </c>
      <c r="G27" s="12"/>
      <c r="H27" s="8" t="str">
        <f t="shared" si="0"/>
        <v/>
      </c>
      <c r="I27" s="7" t="str" cm="1">
        <f t="array" ref="I27">IFERROR(IF(G27=G26,I26,CONCATENATE(INDEX(A27:$G$100,SMALL(IF(G27:$G$100=G27,ROW(G27:$G$100)-ROW(G27)+1,ROW($G$100)+1),1),1)," ",INDEX(A27:$G$100,SMALL(IF(G27:$G$100=G27,ROW(G27:$G$100)-ROW(G27)+1,ROW($G$100)+1),1),2))),"")</f>
        <v xml:space="preserve"> </v>
      </c>
      <c r="J27" s="7" t="str" cm="1">
        <f t="array" ref="J27">IFERROR(IF(G27=G26,J26,CONCATENATE(INDEX(A27:$G$100,SMALL(IF(G27:$G$100=G27,ROW(G27:$G$100)-ROW(G27)+1,ROW($G$100)+1),2),1)," ",INDEX(A27:$G$100,SMALL(IF(G27:$G$100=G27,ROW(G27:$G$100)-ROW(G27)+1,ROW($G$100)+1),2),2))),"")</f>
        <v xml:space="preserve"> </v>
      </c>
      <c r="K27" s="7" t="str" cm="1">
        <f t="array" ref="K27">IFERROR(IF(G27=G26,K26,CONCATENATE(INDEX(A27:$G$100,SMALL(IF(G27:$G$100=G27,ROW(G27:$G$100)-ROW(G27)+1,ROW($G$100)+1),3),1)," ",INDEX(A27:$G$100,SMALL(IF(G27:$G$100=G27,ROW(G27:$G$100)-ROW(G27)+1,ROW($G$100)+1),3),2))),"")</f>
        <v xml:space="preserve"> </v>
      </c>
      <c r="L27" s="7" t="str" cm="1">
        <f t="array" ref="L27">IFERROR(IF(G27=G26,L26,CONCATENATE(INDEX(A27:$G$100,SMALL(IF(G27:$G$100=G27,ROW(G27:$G$100)-ROW(G27)+1,ROW($G$100)+1),4),1)," ",INDEX(A27:$G$100,SMALL(IF(G27:$G$100=G27,ROW(G27:$G$100)-ROW(G27)+1,ROW($G$100)+1),4),2))),"")</f>
        <v xml:space="preserve"> </v>
      </c>
      <c r="M27" s="7" t="str" cm="1">
        <f t="array" ref="M27">IFERROR(IF(G27=G26,M26,CONCATENATE(INDEX(A27:$G$100,SMALL(IF(G27:$G$100=G27,ROW(G27:$G$100)-ROW(G27)+1,ROW($G$100)+1),5),1)," ",INDEX(A27:$G$100,SMALL(IF(G27:$G$100=G27,ROW(G27:$G$100)-ROW(G27)+1,ROW($G$100)+1),5),2))),"")</f>
        <v xml:space="preserve"> </v>
      </c>
      <c r="N27" s="7" t="str" cm="1">
        <f t="array" ref="N27">IFERROR(IF(G27=G26,N26,CONCATENATE(INDEX(A27:$G$100,SMALL(IF(G27:$G$100=G27,ROW(G27:$G$100)-ROW(G27)+1,ROW($G$100)+1),6),1)," ",INDEX(A27:$G$100,SMALL(IF(G27:$G$100=G27,ROW(G27:$G$100)-ROW(G27)+1,ROW($G$100)+1),6),2))),"")</f>
        <v xml:space="preserve"> </v>
      </c>
      <c r="O27" s="7" t="str" cm="1">
        <f t="array" ref="O27">IFERROR(IF(G27=G26,O26,CONCATENATE(INDEX(A27:$G$100,SMALL(IF(G27:$G$100=G27,ROW(G27:$G$100)-ROW(G27)+1,ROW($G$100)+1),7),1)," ",INDEX(A27:$G$100,SMALL(IF(G27:$G$100=G27,ROW(G27:$G$100)-ROW(G27)+1,ROW($G$100)+1),7),2))),"")</f>
        <v xml:space="preserve"> </v>
      </c>
      <c r="P27" s="7" t="str" cm="1">
        <f t="array" ref="P27">IFERROR(IF(G27=G26,P26,CONCATENATE(INDEX(A27:$G$100,SMALL(IF(G27:$G$100=G27,ROW(G27:$G$100)-ROW(G27)+1,ROW($G$100)+1),8),1)," ",INDEX(A27:$G$100,SMALL(IF(G27:$G$100=G27,ROW(G27:$G$100)-ROW(G27)+1,ROW($G$100)+1),8),2))),"")</f>
        <v xml:space="preserve"> </v>
      </c>
      <c r="Q27" s="7" t="str" cm="1">
        <f t="array" ref="Q27">IFERROR(IF(G27=G26,Q26,CONCATENATE(INDEX(A27:$G$100,SMALL(IF(G27:$G$100=G27,ROW(G27:$G$100)-ROW(G27)+1,ROW($G$100)+1),9),1)," ",INDEX(A27:$G$100,SMALL(IF(G27:$G$100=G27,ROW(G27:$G$100)-ROW(G27)+1,ROW($G$100)+1),9),2))),"")</f>
        <v xml:space="preserve"> </v>
      </c>
      <c r="R27" s="7" t="str" cm="1">
        <f t="array" ref="R27">IFERROR(IF(G27=G26,R26,CONCATENATE(INDEX(A27:$G$100,SMALL(IF(G27:$G$100=G27,ROW(G27:$G$100)-ROW(G27)+1,ROW($G$100)+1),10),1)," ",INDEX(A27:$G$100,SMALL(IF(G27:$G$100=G27,ROW(G27:$G$100)-ROW(G27)+1,ROW($G$100)+1),10),2))),"")</f>
        <v xml:space="preserve"> </v>
      </c>
    </row>
    <row r="28" spans="1:18" x14ac:dyDescent="0.2">
      <c r="A28" s="3"/>
      <c r="B28" s="3"/>
      <c r="C28" s="3"/>
      <c r="D28" s="2" t="str">
        <f t="shared" si="1"/>
        <v/>
      </c>
      <c r="E28" s="2" t="str">
        <f t="shared" si="2"/>
        <v/>
      </c>
      <c r="F28" s="2" t="str">
        <f t="shared" si="3"/>
        <v/>
      </c>
      <c r="G28" s="4"/>
      <c r="H28" s="2" t="str">
        <f t="shared" si="0"/>
        <v/>
      </c>
      <c r="I28" s="1" t="str" cm="1">
        <f t="array" ref="I28">IFERROR(IF(G28=G27,I27,CONCATENATE(INDEX(A28:$G$100,SMALL(IF(G28:$G$100=G28,ROW(G28:$G$100)-ROW(G28)+1,ROW($G$100)+1),1),1)," ",INDEX(A28:$G$100,SMALL(IF(G28:$G$100=G28,ROW(G28:$G$100)-ROW(G28)+1,ROW($G$100)+1),1),2))),"")</f>
        <v xml:space="preserve"> </v>
      </c>
      <c r="J28" s="1" t="str" cm="1">
        <f t="array" ref="J28">IFERROR(IF(G28=G27,J27,CONCATENATE(INDEX(A28:$G$100,SMALL(IF(G28:$G$100=G28,ROW(G28:$G$100)-ROW(G28)+1,ROW($G$100)+1),2),1)," ",INDEX(A28:$G$100,SMALL(IF(G28:$G$100=G28,ROW(G28:$G$100)-ROW(G28)+1,ROW($G$100)+1),2),2))),"")</f>
        <v xml:space="preserve"> </v>
      </c>
      <c r="K28" s="1" t="str" cm="1">
        <f t="array" ref="K28">IFERROR(IF(G28=G27,K27,CONCATENATE(INDEX(A28:$G$100,SMALL(IF(G28:$G$100=G28,ROW(G28:$G$100)-ROW(G28)+1,ROW($G$100)+1),3),1)," ",INDEX(A28:$G$100,SMALL(IF(G28:$G$100=G28,ROW(G28:$G$100)-ROW(G28)+1,ROW($G$100)+1),3),2))),"")</f>
        <v xml:space="preserve"> </v>
      </c>
      <c r="L28" s="1" t="str" cm="1">
        <f t="array" ref="L28">IFERROR(IF(G28=G27,L27,CONCATENATE(INDEX(A28:$G$100,SMALL(IF(G28:$G$100=G28,ROW(G28:$G$100)-ROW(G28)+1,ROW($G$100)+1),4),1)," ",INDEX(A28:$G$100,SMALL(IF(G28:$G$100=G28,ROW(G28:$G$100)-ROW(G28)+1,ROW($G$100)+1),4),2))),"")</f>
        <v xml:space="preserve"> </v>
      </c>
      <c r="M28" s="1" t="str" cm="1">
        <f t="array" ref="M28">IFERROR(IF(G28=G27,M27,CONCATENATE(INDEX(A28:$G$100,SMALL(IF(G28:$G$100=G28,ROW(G28:$G$100)-ROW(G28)+1,ROW($G$100)+1),5),1)," ",INDEX(A28:$G$100,SMALL(IF(G28:$G$100=G28,ROW(G28:$G$100)-ROW(G28)+1,ROW($G$100)+1),5),2))),"")</f>
        <v xml:space="preserve"> </v>
      </c>
      <c r="N28" s="1" t="str" cm="1">
        <f t="array" ref="N28">IFERROR(IF(G28=G27,N27,CONCATENATE(INDEX(A28:$G$100,SMALL(IF(G28:$G$100=G28,ROW(G28:$G$100)-ROW(G28)+1,ROW($G$100)+1),6),1)," ",INDEX(A28:$G$100,SMALL(IF(G28:$G$100=G28,ROW(G28:$G$100)-ROW(G28)+1,ROW($G$100)+1),6),2))),"")</f>
        <v xml:space="preserve"> </v>
      </c>
      <c r="O28" s="1" t="str" cm="1">
        <f t="array" ref="O28">IFERROR(IF(G28=G27,O27,CONCATENATE(INDEX(A28:$G$100,SMALL(IF(G28:$G$100=G28,ROW(G28:$G$100)-ROW(G28)+1,ROW($G$100)+1),7),1)," ",INDEX(A28:$G$100,SMALL(IF(G28:$G$100=G28,ROW(G28:$G$100)-ROW(G28)+1,ROW($G$100)+1),7),2))),"")</f>
        <v xml:space="preserve"> </v>
      </c>
      <c r="P28" s="1" t="str" cm="1">
        <f t="array" ref="P28">IFERROR(IF(G28=G27,P27,CONCATENATE(INDEX(A28:$G$100,SMALL(IF(G28:$G$100=G28,ROW(G28:$G$100)-ROW(G28)+1,ROW($G$100)+1),8),1)," ",INDEX(A28:$G$100,SMALL(IF(G28:$G$100=G28,ROW(G28:$G$100)-ROW(G28)+1,ROW($G$100)+1),8),2))),"")</f>
        <v xml:space="preserve"> </v>
      </c>
      <c r="Q28" s="1" t="str" cm="1">
        <f t="array" ref="Q28">IFERROR(IF(G28=G27,Q27,CONCATENATE(INDEX(A28:$G$100,SMALL(IF(G28:$G$100=G28,ROW(G28:$G$100)-ROW(G28)+1,ROW($G$100)+1),9),1)," ",INDEX(A28:$G$100,SMALL(IF(G28:$G$100=G28,ROW(G28:$G$100)-ROW(G28)+1,ROW($G$100)+1),9),2))),"")</f>
        <v xml:space="preserve"> </v>
      </c>
      <c r="R28" s="1" t="str" cm="1">
        <f t="array" ref="R28">IFERROR(IF(G28=G27,R27,CONCATENATE(INDEX(A28:$G$100,SMALL(IF(G28:$G$100=G28,ROW(G28:$G$100)-ROW(G28)+1,ROW($G$100)+1),10),1)," ",INDEX(A28:$G$100,SMALL(IF(G28:$G$100=G28,ROW(G28:$G$100)-ROW(G28)+1,ROW($G$100)+1),10),2))),"")</f>
        <v xml:space="preserve"> </v>
      </c>
    </row>
    <row r="29" spans="1:18" s="7" customFormat="1" x14ac:dyDescent="0.2">
      <c r="A29" s="10"/>
      <c r="B29" s="10"/>
      <c r="C29" s="10"/>
      <c r="D29" s="8" t="str">
        <f t="shared" si="1"/>
        <v/>
      </c>
      <c r="E29" s="8" t="str">
        <f t="shared" si="2"/>
        <v/>
      </c>
      <c r="F29" s="8" t="str">
        <f t="shared" si="3"/>
        <v/>
      </c>
      <c r="G29" s="12"/>
      <c r="H29" s="8" t="str">
        <f t="shared" si="0"/>
        <v/>
      </c>
      <c r="I29" s="7" t="str" cm="1">
        <f t="array" ref="I29">IFERROR(IF(G29=G28,I28,CONCATENATE(INDEX(A29:$G$100,SMALL(IF(G29:$G$100=G29,ROW(G29:$G$100)-ROW(G29)+1,ROW($G$100)+1),1),1)," ",INDEX(A29:$G$100,SMALL(IF(G29:$G$100=G29,ROW(G29:$G$100)-ROW(G29)+1,ROW($G$100)+1),1),2))),"")</f>
        <v xml:space="preserve"> </v>
      </c>
      <c r="J29" s="7" t="str" cm="1">
        <f t="array" ref="J29">IFERROR(IF(G29=G28,J28,CONCATENATE(INDEX(A29:$G$100,SMALL(IF(G29:$G$100=G29,ROW(G29:$G$100)-ROW(G29)+1,ROW($G$100)+1),2),1)," ",INDEX(A29:$G$100,SMALL(IF(G29:$G$100=G29,ROW(G29:$G$100)-ROW(G29)+1,ROW($G$100)+1),2),2))),"")</f>
        <v xml:space="preserve"> </v>
      </c>
      <c r="K29" s="7" t="str" cm="1">
        <f t="array" ref="K29">IFERROR(IF(G29=G28,K28,CONCATENATE(INDEX(A29:$G$100,SMALL(IF(G29:$G$100=G29,ROW(G29:$G$100)-ROW(G29)+1,ROW($G$100)+1),3),1)," ",INDEX(A29:$G$100,SMALL(IF(G29:$G$100=G29,ROW(G29:$G$100)-ROW(G29)+1,ROW($G$100)+1),3),2))),"")</f>
        <v xml:space="preserve"> </v>
      </c>
      <c r="L29" s="7" t="str" cm="1">
        <f t="array" ref="L29">IFERROR(IF(G29=G28,L28,CONCATENATE(INDEX(A29:$G$100,SMALL(IF(G29:$G$100=G29,ROW(G29:$G$100)-ROW(G29)+1,ROW($G$100)+1),4),1)," ",INDEX(A29:$G$100,SMALL(IF(G29:$G$100=G29,ROW(G29:$G$100)-ROW(G29)+1,ROW($G$100)+1),4),2))),"")</f>
        <v xml:space="preserve"> </v>
      </c>
      <c r="M29" s="7" t="str" cm="1">
        <f t="array" ref="M29">IFERROR(IF(G29=G28,M28,CONCATENATE(INDEX(A29:$G$100,SMALL(IF(G29:$G$100=G29,ROW(G29:$G$100)-ROW(G29)+1,ROW($G$100)+1),5),1)," ",INDEX(A29:$G$100,SMALL(IF(G29:$G$100=G29,ROW(G29:$G$100)-ROW(G29)+1,ROW($G$100)+1),5),2))),"")</f>
        <v xml:space="preserve"> </v>
      </c>
      <c r="N29" s="7" t="str" cm="1">
        <f t="array" ref="N29">IFERROR(IF(G29=G28,N28,CONCATENATE(INDEX(A29:$G$100,SMALL(IF(G29:$G$100=G29,ROW(G29:$G$100)-ROW(G29)+1,ROW($G$100)+1),6),1)," ",INDEX(A29:$G$100,SMALL(IF(G29:$G$100=G29,ROW(G29:$G$100)-ROW(G29)+1,ROW($G$100)+1),6),2))),"")</f>
        <v xml:space="preserve"> </v>
      </c>
      <c r="O29" s="7" t="str" cm="1">
        <f t="array" ref="O29">IFERROR(IF(G29=G28,O28,CONCATENATE(INDEX(A29:$G$100,SMALL(IF(G29:$G$100=G29,ROW(G29:$G$100)-ROW(G29)+1,ROW($G$100)+1),7),1)," ",INDEX(A29:$G$100,SMALL(IF(G29:$G$100=G29,ROW(G29:$G$100)-ROW(G29)+1,ROW($G$100)+1),7),2))),"")</f>
        <v xml:space="preserve"> </v>
      </c>
      <c r="P29" s="7" t="str" cm="1">
        <f t="array" ref="P29">IFERROR(IF(G29=G28,P28,CONCATENATE(INDEX(A29:$G$100,SMALL(IF(G29:$G$100=G29,ROW(G29:$G$100)-ROW(G29)+1,ROW($G$100)+1),8),1)," ",INDEX(A29:$G$100,SMALL(IF(G29:$G$100=G29,ROW(G29:$G$100)-ROW(G29)+1,ROW($G$100)+1),8),2))),"")</f>
        <v xml:space="preserve"> </v>
      </c>
      <c r="Q29" s="7" t="str" cm="1">
        <f t="array" ref="Q29">IFERROR(IF(G29=G28,Q28,CONCATENATE(INDEX(A29:$G$100,SMALL(IF(G29:$G$100=G29,ROW(G29:$G$100)-ROW(G29)+1,ROW($G$100)+1),9),1)," ",INDEX(A29:$G$100,SMALL(IF(G29:$G$100=G29,ROW(G29:$G$100)-ROW(G29)+1,ROW($G$100)+1),9),2))),"")</f>
        <v xml:space="preserve"> </v>
      </c>
      <c r="R29" s="7" t="str" cm="1">
        <f t="array" ref="R29">IFERROR(IF(G29=G28,R28,CONCATENATE(INDEX(A29:$G$100,SMALL(IF(G29:$G$100=G29,ROW(G29:$G$100)-ROW(G29)+1,ROW($G$100)+1),10),1)," ",INDEX(A29:$G$100,SMALL(IF(G29:$G$100=G29,ROW(G29:$G$100)-ROW(G29)+1,ROW($G$100)+1),10),2))),"")</f>
        <v xml:space="preserve"> </v>
      </c>
    </row>
    <row r="30" spans="1:18" x14ac:dyDescent="0.2">
      <c r="A30" s="3"/>
      <c r="B30" s="3"/>
      <c r="C30" s="3"/>
      <c r="D30" s="2" t="str">
        <f t="shared" si="1"/>
        <v/>
      </c>
      <c r="E30" s="2" t="str">
        <f t="shared" si="2"/>
        <v/>
      </c>
      <c r="F30" s="2" t="str">
        <f t="shared" si="3"/>
        <v/>
      </c>
      <c r="G30" s="4"/>
      <c r="H30" s="2" t="str">
        <f t="shared" si="0"/>
        <v/>
      </c>
      <c r="I30" s="1" t="str" cm="1">
        <f t="array" ref="I30">IFERROR(IF(G30=G29,I29,CONCATENATE(INDEX(A30:$G$100,SMALL(IF(G30:$G$100=G30,ROW(G30:$G$100)-ROW(G30)+1,ROW($G$100)+1),1),1)," ",INDEX(A30:$G$100,SMALL(IF(G30:$G$100=G30,ROW(G30:$G$100)-ROW(G30)+1,ROW($G$100)+1),1),2))),"")</f>
        <v xml:space="preserve"> </v>
      </c>
      <c r="J30" s="1" t="str" cm="1">
        <f t="array" ref="J30">IFERROR(IF(G30=G29,J29,CONCATENATE(INDEX(A30:$G$100,SMALL(IF(G30:$G$100=G30,ROW(G30:$G$100)-ROW(G30)+1,ROW($G$100)+1),2),1)," ",INDEX(A30:$G$100,SMALL(IF(G30:$G$100=G30,ROW(G30:$G$100)-ROW(G30)+1,ROW($G$100)+1),2),2))),"")</f>
        <v xml:space="preserve"> </v>
      </c>
      <c r="K30" s="1" t="str" cm="1">
        <f t="array" ref="K30">IFERROR(IF(G30=G29,K29,CONCATENATE(INDEX(A30:$G$100,SMALL(IF(G30:$G$100=G30,ROW(G30:$G$100)-ROW(G30)+1,ROW($G$100)+1),3),1)," ",INDEX(A30:$G$100,SMALL(IF(G30:$G$100=G30,ROW(G30:$G$100)-ROW(G30)+1,ROW($G$100)+1),3),2))),"")</f>
        <v xml:space="preserve"> </v>
      </c>
      <c r="L30" s="1" t="str" cm="1">
        <f t="array" ref="L30">IFERROR(IF(G30=G29,L29,CONCATENATE(INDEX(A30:$G$100,SMALL(IF(G30:$G$100=G30,ROW(G30:$G$100)-ROW(G30)+1,ROW($G$100)+1),4),1)," ",INDEX(A30:$G$100,SMALL(IF(G30:$G$100=G30,ROW(G30:$G$100)-ROW(G30)+1,ROW($G$100)+1),4),2))),"")</f>
        <v xml:space="preserve"> </v>
      </c>
      <c r="M30" s="1" t="str" cm="1">
        <f t="array" ref="M30">IFERROR(IF(G30=G29,M29,CONCATENATE(INDEX(A30:$G$100,SMALL(IF(G30:$G$100=G30,ROW(G30:$G$100)-ROW(G30)+1,ROW($G$100)+1),5),1)," ",INDEX(A30:$G$100,SMALL(IF(G30:$G$100=G30,ROW(G30:$G$100)-ROW(G30)+1,ROW($G$100)+1),5),2))),"")</f>
        <v xml:space="preserve"> </v>
      </c>
      <c r="N30" s="1" t="str" cm="1">
        <f t="array" ref="N30">IFERROR(IF(G30=G29,N29,CONCATENATE(INDEX(A30:$G$100,SMALL(IF(G30:$G$100=G30,ROW(G30:$G$100)-ROW(G30)+1,ROW($G$100)+1),6),1)," ",INDEX(A30:$G$100,SMALL(IF(G30:$G$100=G30,ROW(G30:$G$100)-ROW(G30)+1,ROW($G$100)+1),6),2))),"")</f>
        <v xml:space="preserve"> </v>
      </c>
      <c r="O30" s="1" t="str" cm="1">
        <f t="array" ref="O30">IFERROR(IF(G30=G29,O29,CONCATENATE(INDEX(A30:$G$100,SMALL(IF(G30:$G$100=G30,ROW(G30:$G$100)-ROW(G30)+1,ROW($G$100)+1),7),1)," ",INDEX(A30:$G$100,SMALL(IF(G30:$G$100=G30,ROW(G30:$G$100)-ROW(G30)+1,ROW($G$100)+1),7),2))),"")</f>
        <v xml:space="preserve"> </v>
      </c>
      <c r="P30" s="1" t="str" cm="1">
        <f t="array" ref="P30">IFERROR(IF(G30=G29,P29,CONCATENATE(INDEX(A30:$G$100,SMALL(IF(G30:$G$100=G30,ROW(G30:$G$100)-ROW(G30)+1,ROW($G$100)+1),8),1)," ",INDEX(A30:$G$100,SMALL(IF(G30:$G$100=G30,ROW(G30:$G$100)-ROW(G30)+1,ROW($G$100)+1),8),2))),"")</f>
        <v xml:space="preserve"> </v>
      </c>
      <c r="Q30" s="1" t="str" cm="1">
        <f t="array" ref="Q30">IFERROR(IF(G30=G29,Q29,CONCATENATE(INDEX(A30:$G$100,SMALL(IF(G30:$G$100=G30,ROW(G30:$G$100)-ROW(G30)+1,ROW($G$100)+1),9),1)," ",INDEX(A30:$G$100,SMALL(IF(G30:$G$100=G30,ROW(G30:$G$100)-ROW(G30)+1,ROW($G$100)+1),9),2))),"")</f>
        <v xml:space="preserve"> </v>
      </c>
      <c r="R30" s="1" t="str" cm="1">
        <f t="array" ref="R30">IFERROR(IF(G30=G29,R29,CONCATENATE(INDEX(A30:$G$100,SMALL(IF(G30:$G$100=G30,ROW(G30:$G$100)-ROW(G30)+1,ROW($G$100)+1),10),1)," ",INDEX(A30:$G$100,SMALL(IF(G30:$G$100=G30,ROW(G30:$G$100)-ROW(G30)+1,ROW($G$100)+1),10),2))),"")</f>
        <v xml:space="preserve"> </v>
      </c>
    </row>
    <row r="31" spans="1:18" s="7" customFormat="1" x14ac:dyDescent="0.2">
      <c r="A31" s="10"/>
      <c r="B31" s="10"/>
      <c r="C31" s="10"/>
      <c r="D31" s="8" t="str">
        <f t="shared" si="1"/>
        <v/>
      </c>
      <c r="E31" s="8" t="str">
        <f t="shared" si="2"/>
        <v/>
      </c>
      <c r="F31" s="8" t="str">
        <f t="shared" si="3"/>
        <v/>
      </c>
      <c r="G31" s="12"/>
      <c r="H31" s="8" t="str">
        <f t="shared" si="0"/>
        <v/>
      </c>
      <c r="I31" s="7" t="str" cm="1">
        <f t="array" ref="I31">IFERROR(IF(G31=G30,I30,CONCATENATE(INDEX(A31:$G$100,SMALL(IF(G31:$G$100=G31,ROW(G31:$G$100)-ROW(G31)+1,ROW($G$100)+1),1),1)," ",INDEX(A31:$G$100,SMALL(IF(G31:$G$100=G31,ROW(G31:$G$100)-ROW(G31)+1,ROW($G$100)+1),1),2))),"")</f>
        <v xml:space="preserve"> </v>
      </c>
      <c r="J31" s="7" t="str" cm="1">
        <f t="array" ref="J31">IFERROR(IF(G31=G30,J30,CONCATENATE(INDEX(A31:$G$100,SMALL(IF(G31:$G$100=G31,ROW(G31:$G$100)-ROW(G31)+1,ROW($G$100)+1),2),1)," ",INDEX(A31:$G$100,SMALL(IF(G31:$G$100=G31,ROW(G31:$G$100)-ROW(G31)+1,ROW($G$100)+1),2),2))),"")</f>
        <v xml:space="preserve"> </v>
      </c>
      <c r="K31" s="7" t="str" cm="1">
        <f t="array" ref="K31">IFERROR(IF(G31=G30,K30,CONCATENATE(INDEX(A31:$G$100,SMALL(IF(G31:$G$100=G31,ROW(G31:$G$100)-ROW(G31)+1,ROW($G$100)+1),3),1)," ",INDEX(A31:$G$100,SMALL(IF(G31:$G$100=G31,ROW(G31:$G$100)-ROW(G31)+1,ROW($G$100)+1),3),2))),"")</f>
        <v xml:space="preserve"> </v>
      </c>
      <c r="L31" s="7" t="str" cm="1">
        <f t="array" ref="L31">IFERROR(IF(G31=G30,L30,CONCATENATE(INDEX(A31:$G$100,SMALL(IF(G31:$G$100=G31,ROW(G31:$G$100)-ROW(G31)+1,ROW($G$100)+1),4),1)," ",INDEX(A31:$G$100,SMALL(IF(G31:$G$100=G31,ROW(G31:$G$100)-ROW(G31)+1,ROW($G$100)+1),4),2))),"")</f>
        <v xml:space="preserve"> </v>
      </c>
      <c r="M31" s="7" t="str" cm="1">
        <f t="array" ref="M31">IFERROR(IF(G31=G30,M30,CONCATENATE(INDEX(A31:$G$100,SMALL(IF(G31:$G$100=G31,ROW(G31:$G$100)-ROW(G31)+1,ROW($G$100)+1),5),1)," ",INDEX(A31:$G$100,SMALL(IF(G31:$G$100=G31,ROW(G31:$G$100)-ROW(G31)+1,ROW($G$100)+1),5),2))),"")</f>
        <v xml:space="preserve"> </v>
      </c>
      <c r="N31" s="7" t="str" cm="1">
        <f t="array" ref="N31">IFERROR(IF(G31=G30,N30,CONCATENATE(INDEX(A31:$G$100,SMALL(IF(G31:$G$100=G31,ROW(G31:$G$100)-ROW(G31)+1,ROW($G$100)+1),6),1)," ",INDEX(A31:$G$100,SMALL(IF(G31:$G$100=G31,ROW(G31:$G$100)-ROW(G31)+1,ROW($G$100)+1),6),2))),"")</f>
        <v xml:space="preserve"> </v>
      </c>
      <c r="O31" s="7" t="str" cm="1">
        <f t="array" ref="O31">IFERROR(IF(G31=G30,O30,CONCATENATE(INDEX(A31:$G$100,SMALL(IF(G31:$G$100=G31,ROW(G31:$G$100)-ROW(G31)+1,ROW($G$100)+1),7),1)," ",INDEX(A31:$G$100,SMALL(IF(G31:$G$100=G31,ROW(G31:$G$100)-ROW(G31)+1,ROW($G$100)+1),7),2))),"")</f>
        <v xml:space="preserve"> </v>
      </c>
      <c r="P31" s="7" t="str" cm="1">
        <f t="array" ref="P31">IFERROR(IF(G31=G30,P30,CONCATENATE(INDEX(A31:$G$100,SMALL(IF(G31:$G$100=G31,ROW(G31:$G$100)-ROW(G31)+1,ROW($G$100)+1),8),1)," ",INDEX(A31:$G$100,SMALL(IF(G31:$G$100=G31,ROW(G31:$G$100)-ROW(G31)+1,ROW($G$100)+1),8),2))),"")</f>
        <v xml:space="preserve"> </v>
      </c>
      <c r="Q31" s="7" t="str" cm="1">
        <f t="array" ref="Q31">IFERROR(IF(G31=G30,Q30,CONCATENATE(INDEX(A31:$G$100,SMALL(IF(G31:$G$100=G31,ROW(G31:$G$100)-ROW(G31)+1,ROW($G$100)+1),9),1)," ",INDEX(A31:$G$100,SMALL(IF(G31:$G$100=G31,ROW(G31:$G$100)-ROW(G31)+1,ROW($G$100)+1),9),2))),"")</f>
        <v xml:space="preserve"> </v>
      </c>
      <c r="R31" s="7" t="str" cm="1">
        <f t="array" ref="R31">IFERROR(IF(G31=G30,R30,CONCATENATE(INDEX(A31:$G$100,SMALL(IF(G31:$G$100=G31,ROW(G31:$G$100)-ROW(G31)+1,ROW($G$100)+1),10),1)," ",INDEX(A31:$G$100,SMALL(IF(G31:$G$100=G31,ROW(G31:$G$100)-ROW(G31)+1,ROW($G$100)+1),10),2))),"")</f>
        <v xml:space="preserve"> </v>
      </c>
    </row>
    <row r="32" spans="1:18" x14ac:dyDescent="0.2">
      <c r="A32" s="3"/>
      <c r="B32" s="3"/>
      <c r="C32" s="3"/>
      <c r="D32" s="2" t="str">
        <f t="shared" si="1"/>
        <v/>
      </c>
      <c r="E32" s="2" t="str">
        <f t="shared" si="2"/>
        <v/>
      </c>
      <c r="F32" s="2" t="str">
        <f t="shared" si="3"/>
        <v/>
      </c>
      <c r="G32" s="4"/>
      <c r="H32" s="2" t="str">
        <f t="shared" si="0"/>
        <v/>
      </c>
      <c r="I32" s="1" t="str" cm="1">
        <f t="array" ref="I32">IFERROR(IF(G32=G31,I31,CONCATENATE(INDEX(A32:$G$100,SMALL(IF(G32:$G$100=G32,ROW(G32:$G$100)-ROW(G32)+1,ROW($G$100)+1),1),1)," ",INDEX(A32:$G$100,SMALL(IF(G32:$G$100=G32,ROW(G32:$G$100)-ROW(G32)+1,ROW($G$100)+1),1),2))),"")</f>
        <v xml:space="preserve"> </v>
      </c>
      <c r="J32" s="1" t="str" cm="1">
        <f t="array" ref="J32">IFERROR(IF(G32=G31,J31,CONCATENATE(INDEX(A32:$G$100,SMALL(IF(G32:$G$100=G32,ROW(G32:$G$100)-ROW(G32)+1,ROW($G$100)+1),2),1)," ",INDEX(A32:$G$100,SMALL(IF(G32:$G$100=G32,ROW(G32:$G$100)-ROW(G32)+1,ROW($G$100)+1),2),2))),"")</f>
        <v xml:space="preserve"> </v>
      </c>
      <c r="K32" s="1" t="str" cm="1">
        <f t="array" ref="K32">IFERROR(IF(G32=G31,K31,CONCATENATE(INDEX(A32:$G$100,SMALL(IF(G32:$G$100=G32,ROW(G32:$G$100)-ROW(G32)+1,ROW($G$100)+1),3),1)," ",INDEX(A32:$G$100,SMALL(IF(G32:$G$100=G32,ROW(G32:$G$100)-ROW(G32)+1,ROW($G$100)+1),3),2))),"")</f>
        <v xml:space="preserve"> </v>
      </c>
      <c r="L32" s="1" t="str" cm="1">
        <f t="array" ref="L32">IFERROR(IF(G32=G31,L31,CONCATENATE(INDEX(A32:$G$100,SMALL(IF(G32:$G$100=G32,ROW(G32:$G$100)-ROW(G32)+1,ROW($G$100)+1),4),1)," ",INDEX(A32:$G$100,SMALL(IF(G32:$G$100=G32,ROW(G32:$G$100)-ROW(G32)+1,ROW($G$100)+1),4),2))),"")</f>
        <v xml:space="preserve"> </v>
      </c>
      <c r="M32" s="1" t="str" cm="1">
        <f t="array" ref="M32">IFERROR(IF(G32=G31,M31,CONCATENATE(INDEX(A32:$G$100,SMALL(IF(G32:$G$100=G32,ROW(G32:$G$100)-ROW(G32)+1,ROW($G$100)+1),5),1)," ",INDEX(A32:$G$100,SMALL(IF(G32:$G$100=G32,ROW(G32:$G$100)-ROW(G32)+1,ROW($G$100)+1),5),2))),"")</f>
        <v xml:space="preserve"> </v>
      </c>
      <c r="N32" s="1" t="str" cm="1">
        <f t="array" ref="N32">IFERROR(IF(G32=G31,N31,CONCATENATE(INDEX(A32:$G$100,SMALL(IF(G32:$G$100=G32,ROW(G32:$G$100)-ROW(G32)+1,ROW($G$100)+1),6),1)," ",INDEX(A32:$G$100,SMALL(IF(G32:$G$100=G32,ROW(G32:$G$100)-ROW(G32)+1,ROW($G$100)+1),6),2))),"")</f>
        <v xml:space="preserve"> </v>
      </c>
      <c r="O32" s="1" t="str" cm="1">
        <f t="array" ref="O32">IFERROR(IF(G32=G31,O31,CONCATENATE(INDEX(A32:$G$100,SMALL(IF(G32:$G$100=G32,ROW(G32:$G$100)-ROW(G32)+1,ROW($G$100)+1),7),1)," ",INDEX(A32:$G$100,SMALL(IF(G32:$G$100=G32,ROW(G32:$G$100)-ROW(G32)+1,ROW($G$100)+1),7),2))),"")</f>
        <v xml:space="preserve"> </v>
      </c>
      <c r="P32" s="1" t="str" cm="1">
        <f t="array" ref="P32">IFERROR(IF(G32=G31,P31,CONCATENATE(INDEX(A32:$G$100,SMALL(IF(G32:$G$100=G32,ROW(G32:$G$100)-ROW(G32)+1,ROW($G$100)+1),8),1)," ",INDEX(A32:$G$100,SMALL(IF(G32:$G$100=G32,ROW(G32:$G$100)-ROW(G32)+1,ROW($G$100)+1),8),2))),"")</f>
        <v xml:space="preserve"> </v>
      </c>
      <c r="Q32" s="1" t="str" cm="1">
        <f t="array" ref="Q32">IFERROR(IF(G32=G31,Q31,CONCATENATE(INDEX(A32:$G$100,SMALL(IF(G32:$G$100=G32,ROW(G32:$G$100)-ROW(G32)+1,ROW($G$100)+1),9),1)," ",INDEX(A32:$G$100,SMALL(IF(G32:$G$100=G32,ROW(G32:$G$100)-ROW(G32)+1,ROW($G$100)+1),9),2))),"")</f>
        <v xml:space="preserve"> </v>
      </c>
      <c r="R32" s="1" t="str" cm="1">
        <f t="array" ref="R32">IFERROR(IF(G32=G31,R31,CONCATENATE(INDEX(A32:$G$100,SMALL(IF(G32:$G$100=G32,ROW(G32:$G$100)-ROW(G32)+1,ROW($G$100)+1),10),1)," ",INDEX(A32:$G$100,SMALL(IF(G32:$G$100=G32,ROW(G32:$G$100)-ROW(G32)+1,ROW($G$100)+1),10),2))),"")</f>
        <v xml:space="preserve"> </v>
      </c>
    </row>
    <row r="33" spans="1:18" s="7" customFormat="1" x14ac:dyDescent="0.2">
      <c r="A33" s="10"/>
      <c r="B33" s="10"/>
      <c r="C33" s="10"/>
      <c r="D33" s="8" t="str">
        <f t="shared" si="1"/>
        <v/>
      </c>
      <c r="E33" s="8" t="str">
        <f t="shared" si="2"/>
        <v/>
      </c>
      <c r="F33" s="8" t="str">
        <f t="shared" si="3"/>
        <v/>
      </c>
      <c r="G33" s="12"/>
      <c r="H33" s="8" t="str">
        <f t="shared" si="0"/>
        <v/>
      </c>
      <c r="I33" s="7" t="str" cm="1">
        <f t="array" ref="I33">IFERROR(IF(G33=G32,I32,CONCATENATE(INDEX(A33:$G$100,SMALL(IF(G33:$G$100=G33,ROW(G33:$G$100)-ROW(G33)+1,ROW($G$100)+1),1),1)," ",INDEX(A33:$G$100,SMALL(IF(G33:$G$100=G33,ROW(G33:$G$100)-ROW(G33)+1,ROW($G$100)+1),1),2))),"")</f>
        <v xml:space="preserve"> </v>
      </c>
      <c r="J33" s="7" t="str" cm="1">
        <f t="array" ref="J33">IFERROR(IF(G33=G32,J32,CONCATENATE(INDEX(A33:$G$100,SMALL(IF(G33:$G$100=G33,ROW(G33:$G$100)-ROW(G33)+1,ROW($G$100)+1),2),1)," ",INDEX(A33:$G$100,SMALL(IF(G33:$G$100=G33,ROW(G33:$G$100)-ROW(G33)+1,ROW($G$100)+1),2),2))),"")</f>
        <v xml:space="preserve"> </v>
      </c>
      <c r="K33" s="7" t="str" cm="1">
        <f t="array" ref="K33">IFERROR(IF(G33=G32,K32,CONCATENATE(INDEX(A33:$G$100,SMALL(IF(G33:$G$100=G33,ROW(G33:$G$100)-ROW(G33)+1,ROW($G$100)+1),3),1)," ",INDEX(A33:$G$100,SMALL(IF(G33:$G$100=G33,ROW(G33:$G$100)-ROW(G33)+1,ROW($G$100)+1),3),2))),"")</f>
        <v xml:space="preserve"> </v>
      </c>
      <c r="L33" s="7" t="str" cm="1">
        <f t="array" ref="L33">IFERROR(IF(G33=G32,L32,CONCATENATE(INDEX(A33:$G$100,SMALL(IF(G33:$G$100=G33,ROW(G33:$G$100)-ROW(G33)+1,ROW($G$100)+1),4),1)," ",INDEX(A33:$G$100,SMALL(IF(G33:$G$100=G33,ROW(G33:$G$100)-ROW(G33)+1,ROW($G$100)+1),4),2))),"")</f>
        <v xml:space="preserve"> </v>
      </c>
      <c r="M33" s="7" t="str" cm="1">
        <f t="array" ref="M33">IFERROR(IF(G33=G32,M32,CONCATENATE(INDEX(A33:$G$100,SMALL(IF(G33:$G$100=G33,ROW(G33:$G$100)-ROW(G33)+1,ROW($G$100)+1),5),1)," ",INDEX(A33:$G$100,SMALL(IF(G33:$G$100=G33,ROW(G33:$G$100)-ROW(G33)+1,ROW($G$100)+1),5),2))),"")</f>
        <v xml:space="preserve"> </v>
      </c>
      <c r="N33" s="7" t="str" cm="1">
        <f t="array" ref="N33">IFERROR(IF(G33=G32,N32,CONCATENATE(INDEX(A33:$G$100,SMALL(IF(G33:$G$100=G33,ROW(G33:$G$100)-ROW(G33)+1,ROW($G$100)+1),6),1)," ",INDEX(A33:$G$100,SMALL(IF(G33:$G$100=G33,ROW(G33:$G$100)-ROW(G33)+1,ROW($G$100)+1),6),2))),"")</f>
        <v xml:space="preserve"> </v>
      </c>
      <c r="O33" s="7" t="str" cm="1">
        <f t="array" ref="O33">IFERROR(IF(G33=G32,O32,CONCATENATE(INDEX(A33:$G$100,SMALL(IF(G33:$G$100=G33,ROW(G33:$G$100)-ROW(G33)+1,ROW($G$100)+1),7),1)," ",INDEX(A33:$G$100,SMALL(IF(G33:$G$100=G33,ROW(G33:$G$100)-ROW(G33)+1,ROW($G$100)+1),7),2))),"")</f>
        <v xml:space="preserve"> </v>
      </c>
      <c r="P33" s="7" t="str" cm="1">
        <f t="array" ref="P33">IFERROR(IF(G33=G32,P32,CONCATENATE(INDEX(A33:$G$100,SMALL(IF(G33:$G$100=G33,ROW(G33:$G$100)-ROW(G33)+1,ROW($G$100)+1),8),1)," ",INDEX(A33:$G$100,SMALL(IF(G33:$G$100=G33,ROW(G33:$G$100)-ROW(G33)+1,ROW($G$100)+1),8),2))),"")</f>
        <v xml:space="preserve"> </v>
      </c>
      <c r="Q33" s="7" t="str" cm="1">
        <f t="array" ref="Q33">IFERROR(IF(G33=G32,Q32,CONCATENATE(INDEX(A33:$G$100,SMALL(IF(G33:$G$100=G33,ROW(G33:$G$100)-ROW(G33)+1,ROW($G$100)+1),9),1)," ",INDEX(A33:$G$100,SMALL(IF(G33:$G$100=G33,ROW(G33:$G$100)-ROW(G33)+1,ROW($G$100)+1),9),2))),"")</f>
        <v xml:space="preserve"> </v>
      </c>
      <c r="R33" s="7" t="str" cm="1">
        <f t="array" ref="R33">IFERROR(IF(G33=G32,R32,CONCATENATE(INDEX(A33:$G$100,SMALL(IF(G33:$G$100=G33,ROW(G33:$G$100)-ROW(G33)+1,ROW($G$100)+1),10),1)," ",INDEX(A33:$G$100,SMALL(IF(G33:$G$100=G33,ROW(G33:$G$100)-ROW(G33)+1,ROW($G$100)+1),10),2))),"")</f>
        <v xml:space="preserve"> </v>
      </c>
    </row>
    <row r="34" spans="1:18" x14ac:dyDescent="0.2">
      <c r="A34" s="3"/>
      <c r="B34" s="3"/>
      <c r="C34" s="3"/>
      <c r="D34" s="2" t="str">
        <f t="shared" si="1"/>
        <v/>
      </c>
      <c r="E34" s="2" t="str">
        <f t="shared" si="2"/>
        <v/>
      </c>
      <c r="F34" s="2" t="str">
        <f t="shared" si="3"/>
        <v/>
      </c>
      <c r="G34" s="4"/>
      <c r="H34" s="2" t="str">
        <f t="shared" si="0"/>
        <v/>
      </c>
      <c r="I34" s="1" t="str" cm="1">
        <f t="array" ref="I34">IFERROR(IF(G34=G33,I33,CONCATENATE(INDEX(A34:$G$100,SMALL(IF(G34:$G$100=G34,ROW(G34:$G$100)-ROW(G34)+1,ROW($G$100)+1),1),1)," ",INDEX(A34:$G$100,SMALL(IF(G34:$G$100=G34,ROW(G34:$G$100)-ROW(G34)+1,ROW($G$100)+1),1),2))),"")</f>
        <v xml:space="preserve"> </v>
      </c>
      <c r="J34" s="1" t="str" cm="1">
        <f t="array" ref="J34">IFERROR(IF(G34=G33,J33,CONCATENATE(INDEX(A34:$G$100,SMALL(IF(G34:$G$100=G34,ROW(G34:$G$100)-ROW(G34)+1,ROW($G$100)+1),2),1)," ",INDEX(A34:$G$100,SMALL(IF(G34:$G$100=G34,ROW(G34:$G$100)-ROW(G34)+1,ROW($G$100)+1),2),2))),"")</f>
        <v xml:space="preserve"> </v>
      </c>
      <c r="K34" s="1" t="str" cm="1">
        <f t="array" ref="K34">IFERROR(IF(G34=G33,K33,CONCATENATE(INDEX(A34:$G$100,SMALL(IF(G34:$G$100=G34,ROW(G34:$G$100)-ROW(G34)+1,ROW($G$100)+1),3),1)," ",INDEX(A34:$G$100,SMALL(IF(G34:$G$100=G34,ROW(G34:$G$100)-ROW(G34)+1,ROW($G$100)+1),3),2))),"")</f>
        <v xml:space="preserve"> </v>
      </c>
      <c r="L34" s="1" t="str" cm="1">
        <f t="array" ref="L34">IFERROR(IF(G34=G33,L33,CONCATENATE(INDEX(A34:$G$100,SMALL(IF(G34:$G$100=G34,ROW(G34:$G$100)-ROW(G34)+1,ROW($G$100)+1),4),1)," ",INDEX(A34:$G$100,SMALL(IF(G34:$G$100=G34,ROW(G34:$G$100)-ROW(G34)+1,ROW($G$100)+1),4),2))),"")</f>
        <v xml:space="preserve"> </v>
      </c>
      <c r="M34" s="1" t="str" cm="1">
        <f t="array" ref="M34">IFERROR(IF(G34=G33,M33,CONCATENATE(INDEX(A34:$G$100,SMALL(IF(G34:$G$100=G34,ROW(G34:$G$100)-ROW(G34)+1,ROW($G$100)+1),5),1)," ",INDEX(A34:$G$100,SMALL(IF(G34:$G$100=G34,ROW(G34:$G$100)-ROW(G34)+1,ROW($G$100)+1),5),2))),"")</f>
        <v xml:space="preserve"> </v>
      </c>
      <c r="N34" s="1" t="str" cm="1">
        <f t="array" ref="N34">IFERROR(IF(G34=G33,N33,CONCATENATE(INDEX(A34:$G$100,SMALL(IF(G34:$G$100=G34,ROW(G34:$G$100)-ROW(G34)+1,ROW($G$100)+1),6),1)," ",INDEX(A34:$G$100,SMALL(IF(G34:$G$100=G34,ROW(G34:$G$100)-ROW(G34)+1,ROW($G$100)+1),6),2))),"")</f>
        <v xml:space="preserve"> </v>
      </c>
      <c r="O34" s="1" t="str" cm="1">
        <f t="array" ref="O34">IFERROR(IF(G34=G33,O33,CONCATENATE(INDEX(A34:$G$100,SMALL(IF(G34:$G$100=G34,ROW(G34:$G$100)-ROW(G34)+1,ROW($G$100)+1),7),1)," ",INDEX(A34:$G$100,SMALL(IF(G34:$G$100=G34,ROW(G34:$G$100)-ROW(G34)+1,ROW($G$100)+1),7),2))),"")</f>
        <v xml:space="preserve"> </v>
      </c>
      <c r="P34" s="1" t="str" cm="1">
        <f t="array" ref="P34">IFERROR(IF(G34=G33,P33,CONCATENATE(INDEX(A34:$G$100,SMALL(IF(G34:$G$100=G34,ROW(G34:$G$100)-ROW(G34)+1,ROW($G$100)+1),8),1)," ",INDEX(A34:$G$100,SMALL(IF(G34:$G$100=G34,ROW(G34:$G$100)-ROW(G34)+1,ROW($G$100)+1),8),2))),"")</f>
        <v xml:space="preserve"> </v>
      </c>
      <c r="Q34" s="1" t="str" cm="1">
        <f t="array" ref="Q34">IFERROR(IF(G34=G33,Q33,CONCATENATE(INDEX(A34:$G$100,SMALL(IF(G34:$G$100=G34,ROW(G34:$G$100)-ROW(G34)+1,ROW($G$100)+1),9),1)," ",INDEX(A34:$G$100,SMALL(IF(G34:$G$100=G34,ROW(G34:$G$100)-ROW(G34)+1,ROW($G$100)+1),9),2))),"")</f>
        <v xml:space="preserve"> </v>
      </c>
      <c r="R34" s="1" t="str" cm="1">
        <f t="array" ref="R34">IFERROR(IF(G34=G33,R33,CONCATENATE(INDEX(A34:$G$100,SMALL(IF(G34:$G$100=G34,ROW(G34:$G$100)-ROW(G34)+1,ROW($G$100)+1),10),1)," ",INDEX(A34:$G$100,SMALL(IF(G34:$G$100=G34,ROW(G34:$G$100)-ROW(G34)+1,ROW($G$100)+1),10),2))),"")</f>
        <v xml:space="preserve"> </v>
      </c>
    </row>
    <row r="35" spans="1:18" s="7" customFormat="1" x14ac:dyDescent="0.2">
      <c r="A35" s="10"/>
      <c r="B35" s="10"/>
      <c r="C35" s="10"/>
      <c r="D35" s="8" t="str">
        <f t="shared" ref="D35:D66" si="4">IF(A35="","",1+D34)</f>
        <v/>
      </c>
      <c r="E35" s="8" t="str">
        <f t="shared" ref="E35:E66" si="5">IF(A35="","",$E$2)</f>
        <v/>
      </c>
      <c r="F35" s="8" t="str">
        <f t="shared" ref="F35:F66" si="6">IF(A35="","",$F$2)</f>
        <v/>
      </c>
      <c r="G35" s="12"/>
      <c r="H35" s="8" t="str">
        <f t="shared" si="0"/>
        <v/>
      </c>
      <c r="I35" s="7" t="str" cm="1">
        <f t="array" ref="I35">IFERROR(IF(G35=G34,I34,CONCATENATE(INDEX(A35:$G$100,SMALL(IF(G35:$G$100=G35,ROW(G35:$G$100)-ROW(G35)+1,ROW($G$100)+1),1),1)," ",INDEX(A35:$G$100,SMALL(IF(G35:$G$100=G35,ROW(G35:$G$100)-ROW(G35)+1,ROW($G$100)+1),1),2))),"")</f>
        <v xml:space="preserve"> </v>
      </c>
      <c r="J35" s="7" t="str" cm="1">
        <f t="array" ref="J35">IFERROR(IF(G35=G34,J34,CONCATENATE(INDEX(A35:$G$100,SMALL(IF(G35:$G$100=G35,ROW(G35:$G$100)-ROW(G35)+1,ROW($G$100)+1),2),1)," ",INDEX(A35:$G$100,SMALL(IF(G35:$G$100=G35,ROW(G35:$G$100)-ROW(G35)+1,ROW($G$100)+1),2),2))),"")</f>
        <v xml:space="preserve"> </v>
      </c>
      <c r="K35" s="7" t="str" cm="1">
        <f t="array" ref="K35">IFERROR(IF(G35=G34,K34,CONCATENATE(INDEX(A35:$G$100,SMALL(IF(G35:$G$100=G35,ROW(G35:$G$100)-ROW(G35)+1,ROW($G$100)+1),3),1)," ",INDEX(A35:$G$100,SMALL(IF(G35:$G$100=G35,ROW(G35:$G$100)-ROW(G35)+1,ROW($G$100)+1),3),2))),"")</f>
        <v xml:space="preserve"> </v>
      </c>
      <c r="L35" s="7" t="str" cm="1">
        <f t="array" ref="L35">IFERROR(IF(G35=G34,L34,CONCATENATE(INDEX(A35:$G$100,SMALL(IF(G35:$G$100=G35,ROW(G35:$G$100)-ROW(G35)+1,ROW($G$100)+1),4),1)," ",INDEX(A35:$G$100,SMALL(IF(G35:$G$100=G35,ROW(G35:$G$100)-ROW(G35)+1,ROW($G$100)+1),4),2))),"")</f>
        <v xml:space="preserve"> </v>
      </c>
      <c r="M35" s="7" t="str" cm="1">
        <f t="array" ref="M35">IFERROR(IF(G35=G34,M34,CONCATENATE(INDEX(A35:$G$100,SMALL(IF(G35:$G$100=G35,ROW(G35:$G$100)-ROW(G35)+1,ROW($G$100)+1),5),1)," ",INDEX(A35:$G$100,SMALL(IF(G35:$G$100=G35,ROW(G35:$G$100)-ROW(G35)+1,ROW($G$100)+1),5),2))),"")</f>
        <v xml:space="preserve"> </v>
      </c>
      <c r="N35" s="7" t="str" cm="1">
        <f t="array" ref="N35">IFERROR(IF(G35=G34,N34,CONCATENATE(INDEX(A35:$G$100,SMALL(IF(G35:$G$100=G35,ROW(G35:$G$100)-ROW(G35)+1,ROW($G$100)+1),6),1)," ",INDEX(A35:$G$100,SMALL(IF(G35:$G$100=G35,ROW(G35:$G$100)-ROW(G35)+1,ROW($G$100)+1),6),2))),"")</f>
        <v xml:space="preserve"> </v>
      </c>
      <c r="O35" s="7" t="str" cm="1">
        <f t="array" ref="O35">IFERROR(IF(G35=G34,O34,CONCATENATE(INDEX(A35:$G$100,SMALL(IF(G35:$G$100=G35,ROW(G35:$G$100)-ROW(G35)+1,ROW($G$100)+1),7),1)," ",INDEX(A35:$G$100,SMALL(IF(G35:$G$100=G35,ROW(G35:$G$100)-ROW(G35)+1,ROW($G$100)+1),7),2))),"")</f>
        <v xml:space="preserve"> </v>
      </c>
      <c r="P35" s="7" t="str" cm="1">
        <f t="array" ref="P35">IFERROR(IF(G35=G34,P34,CONCATENATE(INDEX(A35:$G$100,SMALL(IF(G35:$G$100=G35,ROW(G35:$G$100)-ROW(G35)+1,ROW($G$100)+1),8),1)," ",INDEX(A35:$G$100,SMALL(IF(G35:$G$100=G35,ROW(G35:$G$100)-ROW(G35)+1,ROW($G$100)+1),8),2))),"")</f>
        <v xml:space="preserve"> </v>
      </c>
      <c r="Q35" s="7" t="str" cm="1">
        <f t="array" ref="Q35">IFERROR(IF(G35=G34,Q34,CONCATENATE(INDEX(A35:$G$100,SMALL(IF(G35:$G$100=G35,ROW(G35:$G$100)-ROW(G35)+1,ROW($G$100)+1),9),1)," ",INDEX(A35:$G$100,SMALL(IF(G35:$G$100=G35,ROW(G35:$G$100)-ROW(G35)+1,ROW($G$100)+1),9),2))),"")</f>
        <v xml:space="preserve"> </v>
      </c>
      <c r="R35" s="7" t="str" cm="1">
        <f t="array" ref="R35">IFERROR(IF(G35=G34,R34,CONCATENATE(INDEX(A35:$G$100,SMALL(IF(G35:$G$100=G35,ROW(G35:$G$100)-ROW(G35)+1,ROW($G$100)+1),10),1)," ",INDEX(A35:$G$100,SMALL(IF(G35:$G$100=G35,ROW(G35:$G$100)-ROW(G35)+1,ROW($G$100)+1),10),2))),"")</f>
        <v xml:space="preserve"> </v>
      </c>
    </row>
    <row r="36" spans="1:18" x14ac:dyDescent="0.2">
      <c r="A36" s="3"/>
      <c r="B36" s="3"/>
      <c r="C36" s="3"/>
      <c r="D36" s="2" t="str">
        <f t="shared" si="4"/>
        <v/>
      </c>
      <c r="E36" s="2" t="str">
        <f t="shared" si="5"/>
        <v/>
      </c>
      <c r="F36" s="2" t="str">
        <f t="shared" si="6"/>
        <v/>
      </c>
      <c r="G36" s="4"/>
      <c r="H36" s="2" t="str">
        <f t="shared" si="0"/>
        <v/>
      </c>
      <c r="I36" s="1" t="str" cm="1">
        <f t="array" ref="I36">IFERROR(IF(G36=G35,I35,CONCATENATE(INDEX(A36:$G$100,SMALL(IF(G36:$G$100=G36,ROW(G36:$G$100)-ROW(G36)+1,ROW($G$100)+1),1),1)," ",INDEX(A36:$G$100,SMALL(IF(G36:$G$100=G36,ROW(G36:$G$100)-ROW(G36)+1,ROW($G$100)+1),1),2))),"")</f>
        <v xml:space="preserve"> </v>
      </c>
      <c r="J36" s="1" t="str" cm="1">
        <f t="array" ref="J36">IFERROR(IF(G36=G35,J35,CONCATENATE(INDEX(A36:$G$100,SMALL(IF(G36:$G$100=G36,ROW(G36:$G$100)-ROW(G36)+1,ROW($G$100)+1),2),1)," ",INDEX(A36:$G$100,SMALL(IF(G36:$G$100=G36,ROW(G36:$G$100)-ROW(G36)+1,ROW($G$100)+1),2),2))),"")</f>
        <v xml:space="preserve"> </v>
      </c>
      <c r="K36" s="1" t="str" cm="1">
        <f t="array" ref="K36">IFERROR(IF(G36=G35,K35,CONCATENATE(INDEX(A36:$G$100,SMALL(IF(G36:$G$100=G36,ROW(G36:$G$100)-ROW(G36)+1,ROW($G$100)+1),3),1)," ",INDEX(A36:$G$100,SMALL(IF(G36:$G$100=G36,ROW(G36:$G$100)-ROW(G36)+1,ROW($G$100)+1),3),2))),"")</f>
        <v xml:space="preserve"> </v>
      </c>
      <c r="L36" s="1" t="str" cm="1">
        <f t="array" ref="L36">IFERROR(IF(G36=G35,L35,CONCATENATE(INDEX(A36:$G$100,SMALL(IF(G36:$G$100=G36,ROW(G36:$G$100)-ROW(G36)+1,ROW($G$100)+1),4),1)," ",INDEX(A36:$G$100,SMALL(IF(G36:$G$100=G36,ROW(G36:$G$100)-ROW(G36)+1,ROW($G$100)+1),4),2))),"")</f>
        <v xml:space="preserve"> </v>
      </c>
      <c r="M36" s="1" t="str" cm="1">
        <f t="array" ref="M36">IFERROR(IF(G36=G35,M35,CONCATENATE(INDEX(A36:$G$100,SMALL(IF(G36:$G$100=G36,ROW(G36:$G$100)-ROW(G36)+1,ROW($G$100)+1),5),1)," ",INDEX(A36:$G$100,SMALL(IF(G36:$G$100=G36,ROW(G36:$G$100)-ROW(G36)+1,ROW($G$100)+1),5),2))),"")</f>
        <v xml:space="preserve"> </v>
      </c>
      <c r="N36" s="1" t="str" cm="1">
        <f t="array" ref="N36">IFERROR(IF(G36=G35,N35,CONCATENATE(INDEX(A36:$G$100,SMALL(IF(G36:$G$100=G36,ROW(G36:$G$100)-ROW(G36)+1,ROW($G$100)+1),6),1)," ",INDEX(A36:$G$100,SMALL(IF(G36:$G$100=G36,ROW(G36:$G$100)-ROW(G36)+1,ROW($G$100)+1),6),2))),"")</f>
        <v xml:space="preserve"> </v>
      </c>
      <c r="O36" s="1" t="str" cm="1">
        <f t="array" ref="O36">IFERROR(IF(G36=G35,O35,CONCATENATE(INDEX(A36:$G$100,SMALL(IF(G36:$G$100=G36,ROW(G36:$G$100)-ROW(G36)+1,ROW($G$100)+1),7),1)," ",INDEX(A36:$G$100,SMALL(IF(G36:$G$100=G36,ROW(G36:$G$100)-ROW(G36)+1,ROW($G$100)+1),7),2))),"")</f>
        <v xml:space="preserve"> </v>
      </c>
      <c r="P36" s="1" t="str" cm="1">
        <f t="array" ref="P36">IFERROR(IF(G36=G35,P35,CONCATENATE(INDEX(A36:$G$100,SMALL(IF(G36:$G$100=G36,ROW(G36:$G$100)-ROW(G36)+1,ROW($G$100)+1),8),1)," ",INDEX(A36:$G$100,SMALL(IF(G36:$G$100=G36,ROW(G36:$G$100)-ROW(G36)+1,ROW($G$100)+1),8),2))),"")</f>
        <v xml:space="preserve"> </v>
      </c>
      <c r="Q36" s="1" t="str" cm="1">
        <f t="array" ref="Q36">IFERROR(IF(G36=G35,Q35,CONCATENATE(INDEX(A36:$G$100,SMALL(IF(G36:$G$100=G36,ROW(G36:$G$100)-ROW(G36)+1,ROW($G$100)+1),9),1)," ",INDEX(A36:$G$100,SMALL(IF(G36:$G$100=G36,ROW(G36:$G$100)-ROW(G36)+1,ROW($G$100)+1),9),2))),"")</f>
        <v xml:space="preserve"> </v>
      </c>
      <c r="R36" s="1" t="str" cm="1">
        <f t="array" ref="R36">IFERROR(IF(G36=G35,R35,CONCATENATE(INDEX(A36:$G$100,SMALL(IF(G36:$G$100=G36,ROW(G36:$G$100)-ROW(G36)+1,ROW($G$100)+1),10),1)," ",INDEX(A36:$G$100,SMALL(IF(G36:$G$100=G36,ROW(G36:$G$100)-ROW(G36)+1,ROW($G$100)+1),10),2))),"")</f>
        <v xml:space="preserve"> </v>
      </c>
    </row>
    <row r="37" spans="1:18" s="7" customFormat="1" x14ac:dyDescent="0.2">
      <c r="A37" s="10"/>
      <c r="B37" s="10"/>
      <c r="C37" s="10"/>
      <c r="D37" s="8" t="str">
        <f t="shared" si="4"/>
        <v/>
      </c>
      <c r="E37" s="8" t="str">
        <f t="shared" si="5"/>
        <v/>
      </c>
      <c r="F37" s="8" t="str">
        <f t="shared" si="6"/>
        <v/>
      </c>
      <c r="G37" s="12"/>
      <c r="H37" s="8" t="str">
        <f t="shared" si="0"/>
        <v/>
      </c>
      <c r="I37" s="7" t="str" cm="1">
        <f t="array" ref="I37">IFERROR(IF(G37=G36,I36,CONCATENATE(INDEX(A37:$G$100,SMALL(IF(G37:$G$100=G37,ROW(G37:$G$100)-ROW(G37)+1,ROW($G$100)+1),1),1)," ",INDEX(A37:$G$100,SMALL(IF(G37:$G$100=G37,ROW(G37:$G$100)-ROW(G37)+1,ROW($G$100)+1),1),2))),"")</f>
        <v xml:space="preserve"> </v>
      </c>
      <c r="J37" s="7" t="str" cm="1">
        <f t="array" ref="J37">IFERROR(IF(G37=G36,J36,CONCATENATE(INDEX(A37:$G$100,SMALL(IF(G37:$G$100=G37,ROW(G37:$G$100)-ROW(G37)+1,ROW($G$100)+1),2),1)," ",INDEX(A37:$G$100,SMALL(IF(G37:$G$100=G37,ROW(G37:$G$100)-ROW(G37)+1,ROW($G$100)+1),2),2))),"")</f>
        <v xml:space="preserve"> </v>
      </c>
      <c r="K37" s="7" t="str" cm="1">
        <f t="array" ref="K37">IFERROR(IF(G37=G36,K36,CONCATENATE(INDEX(A37:$G$100,SMALL(IF(G37:$G$100=G37,ROW(G37:$G$100)-ROW(G37)+1,ROW($G$100)+1),3),1)," ",INDEX(A37:$G$100,SMALL(IF(G37:$G$100=G37,ROW(G37:$G$100)-ROW(G37)+1,ROW($G$100)+1),3),2))),"")</f>
        <v xml:space="preserve"> </v>
      </c>
      <c r="L37" s="7" t="str" cm="1">
        <f t="array" ref="L37">IFERROR(IF(G37=G36,L36,CONCATENATE(INDEX(A37:$G$100,SMALL(IF(G37:$G$100=G37,ROW(G37:$G$100)-ROW(G37)+1,ROW($G$100)+1),4),1)," ",INDEX(A37:$G$100,SMALL(IF(G37:$G$100=G37,ROW(G37:$G$100)-ROW(G37)+1,ROW($G$100)+1),4),2))),"")</f>
        <v xml:space="preserve"> </v>
      </c>
      <c r="M37" s="7" t="str" cm="1">
        <f t="array" ref="M37">IFERROR(IF(G37=G36,M36,CONCATENATE(INDEX(A37:$G$100,SMALL(IF(G37:$G$100=G37,ROW(G37:$G$100)-ROW(G37)+1,ROW($G$100)+1),5),1)," ",INDEX(A37:$G$100,SMALL(IF(G37:$G$100=G37,ROW(G37:$G$100)-ROW(G37)+1,ROW($G$100)+1),5),2))),"")</f>
        <v xml:space="preserve"> </v>
      </c>
      <c r="N37" s="7" t="str" cm="1">
        <f t="array" ref="N37">IFERROR(IF(G37=G36,N36,CONCATENATE(INDEX(A37:$G$100,SMALL(IF(G37:$G$100=G37,ROW(G37:$G$100)-ROW(G37)+1,ROW($G$100)+1),6),1)," ",INDEX(A37:$G$100,SMALL(IF(G37:$G$100=G37,ROW(G37:$G$100)-ROW(G37)+1,ROW($G$100)+1),6),2))),"")</f>
        <v xml:space="preserve"> </v>
      </c>
      <c r="O37" s="7" t="str" cm="1">
        <f t="array" ref="O37">IFERROR(IF(G37=G36,O36,CONCATENATE(INDEX(A37:$G$100,SMALL(IF(G37:$G$100=G37,ROW(G37:$G$100)-ROW(G37)+1,ROW($G$100)+1),7),1)," ",INDEX(A37:$G$100,SMALL(IF(G37:$G$100=G37,ROW(G37:$G$100)-ROW(G37)+1,ROW($G$100)+1),7),2))),"")</f>
        <v xml:space="preserve"> </v>
      </c>
      <c r="P37" s="7" t="str" cm="1">
        <f t="array" ref="P37">IFERROR(IF(G37=G36,P36,CONCATENATE(INDEX(A37:$G$100,SMALL(IF(G37:$G$100=G37,ROW(G37:$G$100)-ROW(G37)+1,ROW($G$100)+1),8),1)," ",INDEX(A37:$G$100,SMALL(IF(G37:$G$100=G37,ROW(G37:$G$100)-ROW(G37)+1,ROW($G$100)+1),8),2))),"")</f>
        <v xml:space="preserve"> </v>
      </c>
      <c r="Q37" s="7" t="str" cm="1">
        <f t="array" ref="Q37">IFERROR(IF(G37=G36,Q36,CONCATENATE(INDEX(A37:$G$100,SMALL(IF(G37:$G$100=G37,ROW(G37:$G$100)-ROW(G37)+1,ROW($G$100)+1),9),1)," ",INDEX(A37:$G$100,SMALL(IF(G37:$G$100=G37,ROW(G37:$G$100)-ROW(G37)+1,ROW($G$100)+1),9),2))),"")</f>
        <v xml:space="preserve"> </v>
      </c>
      <c r="R37" s="7" t="str" cm="1">
        <f t="array" ref="R37">IFERROR(IF(G37=G36,R36,CONCATENATE(INDEX(A37:$G$100,SMALL(IF(G37:$G$100=G37,ROW(G37:$G$100)-ROW(G37)+1,ROW($G$100)+1),10),1)," ",INDEX(A37:$G$100,SMALL(IF(G37:$G$100=G37,ROW(G37:$G$100)-ROW(G37)+1,ROW($G$100)+1),10),2))),"")</f>
        <v xml:space="preserve"> </v>
      </c>
    </row>
    <row r="38" spans="1:18" x14ac:dyDescent="0.2">
      <c r="A38" s="3"/>
      <c r="B38" s="3"/>
      <c r="C38" s="3"/>
      <c r="D38" s="2" t="str">
        <f t="shared" si="4"/>
        <v/>
      </c>
      <c r="E38" s="2" t="str">
        <f t="shared" si="5"/>
        <v/>
      </c>
      <c r="F38" s="2" t="str">
        <f t="shared" si="6"/>
        <v/>
      </c>
      <c r="G38" s="4"/>
      <c r="H38" s="2" t="str">
        <f t="shared" si="0"/>
        <v/>
      </c>
      <c r="I38" s="1" t="str" cm="1">
        <f t="array" ref="I38">IFERROR(IF(G38=G37,I37,CONCATENATE(INDEX(A38:$G$100,SMALL(IF(G38:$G$100=G38,ROW(G38:$G$100)-ROW(G38)+1,ROW($G$100)+1),1),1)," ",INDEX(A38:$G$100,SMALL(IF(G38:$G$100=G38,ROW(G38:$G$100)-ROW(G38)+1,ROW($G$100)+1),1),2))),"")</f>
        <v xml:space="preserve"> </v>
      </c>
      <c r="J38" s="1" t="str" cm="1">
        <f t="array" ref="J38">IFERROR(IF(G38=G37,J37,CONCATENATE(INDEX(A38:$G$100,SMALL(IF(G38:$G$100=G38,ROW(G38:$G$100)-ROW(G38)+1,ROW($G$100)+1),2),1)," ",INDEX(A38:$G$100,SMALL(IF(G38:$G$100=G38,ROW(G38:$G$100)-ROW(G38)+1,ROW($G$100)+1),2),2))),"")</f>
        <v xml:space="preserve"> </v>
      </c>
      <c r="K38" s="1" t="str" cm="1">
        <f t="array" ref="K38">IFERROR(IF(G38=G37,K37,CONCATENATE(INDEX(A38:$G$100,SMALL(IF(G38:$G$100=G38,ROW(G38:$G$100)-ROW(G38)+1,ROW($G$100)+1),3),1)," ",INDEX(A38:$G$100,SMALL(IF(G38:$G$100=G38,ROW(G38:$G$100)-ROW(G38)+1,ROW($G$100)+1),3),2))),"")</f>
        <v xml:space="preserve"> </v>
      </c>
      <c r="L38" s="1" t="str" cm="1">
        <f t="array" ref="L38">IFERROR(IF(G38=G37,L37,CONCATENATE(INDEX(A38:$G$100,SMALL(IF(G38:$G$100=G38,ROW(G38:$G$100)-ROW(G38)+1,ROW($G$100)+1),4),1)," ",INDEX(A38:$G$100,SMALL(IF(G38:$G$100=G38,ROW(G38:$G$100)-ROW(G38)+1,ROW($G$100)+1),4),2))),"")</f>
        <v xml:space="preserve"> </v>
      </c>
      <c r="M38" s="1" t="str" cm="1">
        <f t="array" ref="M38">IFERROR(IF(G38=G37,M37,CONCATENATE(INDEX(A38:$G$100,SMALL(IF(G38:$G$100=G38,ROW(G38:$G$100)-ROW(G38)+1,ROW($G$100)+1),5),1)," ",INDEX(A38:$G$100,SMALL(IF(G38:$G$100=G38,ROW(G38:$G$100)-ROW(G38)+1,ROW($G$100)+1),5),2))),"")</f>
        <v xml:space="preserve"> </v>
      </c>
      <c r="N38" s="1" t="str" cm="1">
        <f t="array" ref="N38">IFERROR(IF(G38=G37,N37,CONCATENATE(INDEX(A38:$G$100,SMALL(IF(G38:$G$100=G38,ROW(G38:$G$100)-ROW(G38)+1,ROW($G$100)+1),6),1)," ",INDEX(A38:$G$100,SMALL(IF(G38:$G$100=G38,ROW(G38:$G$100)-ROW(G38)+1,ROW($G$100)+1),6),2))),"")</f>
        <v xml:space="preserve"> </v>
      </c>
      <c r="O38" s="1" t="str" cm="1">
        <f t="array" ref="O38">IFERROR(IF(G38=G37,O37,CONCATENATE(INDEX(A38:$G$100,SMALL(IF(G38:$G$100=G38,ROW(G38:$G$100)-ROW(G38)+1,ROW($G$100)+1),7),1)," ",INDEX(A38:$G$100,SMALL(IF(G38:$G$100=G38,ROW(G38:$G$100)-ROW(G38)+1,ROW($G$100)+1),7),2))),"")</f>
        <v xml:space="preserve"> </v>
      </c>
      <c r="P38" s="1" t="str" cm="1">
        <f t="array" ref="P38">IFERROR(IF(G38=G37,P37,CONCATENATE(INDEX(A38:$G$100,SMALL(IF(G38:$G$100=G38,ROW(G38:$G$100)-ROW(G38)+1,ROW($G$100)+1),8),1)," ",INDEX(A38:$G$100,SMALL(IF(G38:$G$100=G38,ROW(G38:$G$100)-ROW(G38)+1,ROW($G$100)+1),8),2))),"")</f>
        <v xml:space="preserve"> </v>
      </c>
      <c r="Q38" s="1" t="str" cm="1">
        <f t="array" ref="Q38">IFERROR(IF(G38=G37,Q37,CONCATENATE(INDEX(A38:$G$100,SMALL(IF(G38:$G$100=G38,ROW(G38:$G$100)-ROW(G38)+1,ROW($G$100)+1),9),1)," ",INDEX(A38:$G$100,SMALL(IF(G38:$G$100=G38,ROW(G38:$G$100)-ROW(G38)+1,ROW($G$100)+1),9),2))),"")</f>
        <v xml:space="preserve"> </v>
      </c>
      <c r="R38" s="1" t="str" cm="1">
        <f t="array" ref="R38">IFERROR(IF(G38=G37,R37,CONCATENATE(INDEX(A38:$G$100,SMALL(IF(G38:$G$100=G38,ROW(G38:$G$100)-ROW(G38)+1,ROW($G$100)+1),10),1)," ",INDEX(A38:$G$100,SMALL(IF(G38:$G$100=G38,ROW(G38:$G$100)-ROW(G38)+1,ROW($G$100)+1),10),2))),"")</f>
        <v xml:space="preserve"> </v>
      </c>
    </row>
    <row r="39" spans="1:18" s="7" customFormat="1" x14ac:dyDescent="0.2">
      <c r="A39" s="10"/>
      <c r="B39" s="10"/>
      <c r="C39" s="10"/>
      <c r="D39" s="8" t="str">
        <f t="shared" si="4"/>
        <v/>
      </c>
      <c r="E39" s="8" t="str">
        <f t="shared" si="5"/>
        <v/>
      </c>
      <c r="F39" s="8" t="str">
        <f t="shared" si="6"/>
        <v/>
      </c>
      <c r="G39" s="12"/>
      <c r="H39" s="8" t="str">
        <f t="shared" si="0"/>
        <v/>
      </c>
      <c r="I39" s="7" t="str" cm="1">
        <f t="array" ref="I39">IFERROR(IF(G39=G38,I38,CONCATENATE(INDEX(A39:$G$100,SMALL(IF(G39:$G$100=G39,ROW(G39:$G$100)-ROW(G39)+1,ROW($G$100)+1),1),1)," ",INDEX(A39:$G$100,SMALL(IF(G39:$G$100=G39,ROW(G39:$G$100)-ROW(G39)+1,ROW($G$100)+1),1),2))),"")</f>
        <v xml:space="preserve"> </v>
      </c>
      <c r="J39" s="7" t="str" cm="1">
        <f t="array" ref="J39">IFERROR(IF(G39=G38,J38,CONCATENATE(INDEX(A39:$G$100,SMALL(IF(G39:$G$100=G39,ROW(G39:$G$100)-ROW(G39)+1,ROW($G$100)+1),2),1)," ",INDEX(A39:$G$100,SMALL(IF(G39:$G$100=G39,ROW(G39:$G$100)-ROW(G39)+1,ROW($G$100)+1),2),2))),"")</f>
        <v xml:space="preserve"> </v>
      </c>
      <c r="K39" s="7" t="str" cm="1">
        <f t="array" ref="K39">IFERROR(IF(G39=G38,K38,CONCATENATE(INDEX(A39:$G$100,SMALL(IF(G39:$G$100=G39,ROW(G39:$G$100)-ROW(G39)+1,ROW($G$100)+1),3),1)," ",INDEX(A39:$G$100,SMALL(IF(G39:$G$100=G39,ROW(G39:$G$100)-ROW(G39)+1,ROW($G$100)+1),3),2))),"")</f>
        <v xml:space="preserve"> </v>
      </c>
      <c r="L39" s="7" t="str" cm="1">
        <f t="array" ref="L39">IFERROR(IF(G39=G38,L38,CONCATENATE(INDEX(A39:$G$100,SMALL(IF(G39:$G$100=G39,ROW(G39:$G$100)-ROW(G39)+1,ROW($G$100)+1),4),1)," ",INDEX(A39:$G$100,SMALL(IF(G39:$G$100=G39,ROW(G39:$G$100)-ROW(G39)+1,ROW($G$100)+1),4),2))),"")</f>
        <v xml:space="preserve"> </v>
      </c>
      <c r="M39" s="7" t="str" cm="1">
        <f t="array" ref="M39">IFERROR(IF(G39=G38,M38,CONCATENATE(INDEX(A39:$G$100,SMALL(IF(G39:$G$100=G39,ROW(G39:$G$100)-ROW(G39)+1,ROW($G$100)+1),5),1)," ",INDEX(A39:$G$100,SMALL(IF(G39:$G$100=G39,ROW(G39:$G$100)-ROW(G39)+1,ROW($G$100)+1),5),2))),"")</f>
        <v xml:space="preserve"> </v>
      </c>
      <c r="N39" s="7" t="str" cm="1">
        <f t="array" ref="N39">IFERROR(IF(G39=G38,N38,CONCATENATE(INDEX(A39:$G$100,SMALL(IF(G39:$G$100=G39,ROW(G39:$G$100)-ROW(G39)+1,ROW($G$100)+1),6),1)," ",INDEX(A39:$G$100,SMALL(IF(G39:$G$100=G39,ROW(G39:$G$100)-ROW(G39)+1,ROW($G$100)+1),6),2))),"")</f>
        <v xml:space="preserve"> </v>
      </c>
      <c r="O39" s="7" t="str" cm="1">
        <f t="array" ref="O39">IFERROR(IF(G39=G38,O38,CONCATENATE(INDEX(A39:$G$100,SMALL(IF(G39:$G$100=G39,ROW(G39:$G$100)-ROW(G39)+1,ROW($G$100)+1),7),1)," ",INDEX(A39:$G$100,SMALL(IF(G39:$G$100=G39,ROW(G39:$G$100)-ROW(G39)+1,ROW($G$100)+1),7),2))),"")</f>
        <v xml:space="preserve"> </v>
      </c>
      <c r="P39" s="7" t="str" cm="1">
        <f t="array" ref="P39">IFERROR(IF(G39=G38,P38,CONCATENATE(INDEX(A39:$G$100,SMALL(IF(G39:$G$100=G39,ROW(G39:$G$100)-ROW(G39)+1,ROW($G$100)+1),8),1)," ",INDEX(A39:$G$100,SMALL(IF(G39:$G$100=G39,ROW(G39:$G$100)-ROW(G39)+1,ROW($G$100)+1),8),2))),"")</f>
        <v xml:space="preserve"> </v>
      </c>
      <c r="Q39" s="7" t="str" cm="1">
        <f t="array" ref="Q39">IFERROR(IF(G39=G38,Q38,CONCATENATE(INDEX(A39:$G$100,SMALL(IF(G39:$G$100=G39,ROW(G39:$G$100)-ROW(G39)+1,ROW($G$100)+1),9),1)," ",INDEX(A39:$G$100,SMALL(IF(G39:$G$100=G39,ROW(G39:$G$100)-ROW(G39)+1,ROW($G$100)+1),9),2))),"")</f>
        <v xml:space="preserve"> </v>
      </c>
      <c r="R39" s="7" t="str" cm="1">
        <f t="array" ref="R39">IFERROR(IF(G39=G38,R38,CONCATENATE(INDEX(A39:$G$100,SMALL(IF(G39:$G$100=G39,ROW(G39:$G$100)-ROW(G39)+1,ROW($G$100)+1),10),1)," ",INDEX(A39:$G$100,SMALL(IF(G39:$G$100=G39,ROW(G39:$G$100)-ROW(G39)+1,ROW($G$100)+1),10),2))),"")</f>
        <v xml:space="preserve"> </v>
      </c>
    </row>
    <row r="40" spans="1:18" x14ac:dyDescent="0.2">
      <c r="A40" s="3"/>
      <c r="B40" s="3"/>
      <c r="C40" s="3"/>
      <c r="D40" s="2" t="str">
        <f t="shared" si="4"/>
        <v/>
      </c>
      <c r="E40" s="2" t="str">
        <f t="shared" si="5"/>
        <v/>
      </c>
      <c r="F40" s="2" t="str">
        <f t="shared" si="6"/>
        <v/>
      </c>
      <c r="G40" s="4"/>
      <c r="H40" s="2" t="str">
        <f t="shared" si="0"/>
        <v/>
      </c>
      <c r="I40" s="1" t="str" cm="1">
        <f t="array" ref="I40">IFERROR(IF(G40=G39,I39,CONCATENATE(INDEX(A40:$G$100,SMALL(IF(G40:$G$100=G40,ROW(G40:$G$100)-ROW(G40)+1,ROW($G$100)+1),1),1)," ",INDEX(A40:$G$100,SMALL(IF(G40:$G$100=G40,ROW(G40:$G$100)-ROW(G40)+1,ROW($G$100)+1),1),2))),"")</f>
        <v xml:space="preserve"> </v>
      </c>
      <c r="J40" s="1" t="str" cm="1">
        <f t="array" ref="J40">IFERROR(IF(G40=G39,J39,CONCATENATE(INDEX(A40:$G$100,SMALL(IF(G40:$G$100=G40,ROW(G40:$G$100)-ROW(G40)+1,ROW($G$100)+1),2),1)," ",INDEX(A40:$G$100,SMALL(IF(G40:$G$100=G40,ROW(G40:$G$100)-ROW(G40)+1,ROW($G$100)+1),2),2))),"")</f>
        <v xml:space="preserve"> </v>
      </c>
      <c r="K40" s="1" t="str" cm="1">
        <f t="array" ref="K40">IFERROR(IF(G40=G39,K39,CONCATENATE(INDEX(A40:$G$100,SMALL(IF(G40:$G$100=G40,ROW(G40:$G$100)-ROW(G40)+1,ROW($G$100)+1),3),1)," ",INDEX(A40:$G$100,SMALL(IF(G40:$G$100=G40,ROW(G40:$G$100)-ROW(G40)+1,ROW($G$100)+1),3),2))),"")</f>
        <v xml:space="preserve"> </v>
      </c>
      <c r="L40" s="1" t="str" cm="1">
        <f t="array" ref="L40">IFERROR(IF(G40=G39,L39,CONCATENATE(INDEX(A40:$G$100,SMALL(IF(G40:$G$100=G40,ROW(G40:$G$100)-ROW(G40)+1,ROW($G$100)+1),4),1)," ",INDEX(A40:$G$100,SMALL(IF(G40:$G$100=G40,ROW(G40:$G$100)-ROW(G40)+1,ROW($G$100)+1),4),2))),"")</f>
        <v xml:space="preserve"> </v>
      </c>
      <c r="M40" s="1" t="str" cm="1">
        <f t="array" ref="M40">IFERROR(IF(G40=G39,M39,CONCATENATE(INDEX(A40:$G$100,SMALL(IF(G40:$G$100=G40,ROW(G40:$G$100)-ROW(G40)+1,ROW($G$100)+1),5),1)," ",INDEX(A40:$G$100,SMALL(IF(G40:$G$100=G40,ROW(G40:$G$100)-ROW(G40)+1,ROW($G$100)+1),5),2))),"")</f>
        <v xml:space="preserve"> </v>
      </c>
      <c r="N40" s="1" t="str" cm="1">
        <f t="array" ref="N40">IFERROR(IF(G40=G39,N39,CONCATENATE(INDEX(A40:$G$100,SMALL(IF(G40:$G$100=G40,ROW(G40:$G$100)-ROW(G40)+1,ROW($G$100)+1),6),1)," ",INDEX(A40:$G$100,SMALL(IF(G40:$G$100=G40,ROW(G40:$G$100)-ROW(G40)+1,ROW($G$100)+1),6),2))),"")</f>
        <v xml:space="preserve"> </v>
      </c>
      <c r="O40" s="1" t="str" cm="1">
        <f t="array" ref="O40">IFERROR(IF(G40=G39,O39,CONCATENATE(INDEX(A40:$G$100,SMALL(IF(G40:$G$100=G40,ROW(G40:$G$100)-ROW(G40)+1,ROW($G$100)+1),7),1)," ",INDEX(A40:$G$100,SMALL(IF(G40:$G$100=G40,ROW(G40:$G$100)-ROW(G40)+1,ROW($G$100)+1),7),2))),"")</f>
        <v xml:space="preserve"> </v>
      </c>
      <c r="P40" s="1" t="str" cm="1">
        <f t="array" ref="P40">IFERROR(IF(G40=G39,P39,CONCATENATE(INDEX(A40:$G$100,SMALL(IF(G40:$G$100=G40,ROW(G40:$G$100)-ROW(G40)+1,ROW($G$100)+1),8),1)," ",INDEX(A40:$G$100,SMALL(IF(G40:$G$100=G40,ROW(G40:$G$100)-ROW(G40)+1,ROW($G$100)+1),8),2))),"")</f>
        <v xml:space="preserve"> </v>
      </c>
      <c r="Q40" s="1" t="str" cm="1">
        <f t="array" ref="Q40">IFERROR(IF(G40=G39,Q39,CONCATENATE(INDEX(A40:$G$100,SMALL(IF(G40:$G$100=G40,ROW(G40:$G$100)-ROW(G40)+1,ROW($G$100)+1),9),1)," ",INDEX(A40:$G$100,SMALL(IF(G40:$G$100=G40,ROW(G40:$G$100)-ROW(G40)+1,ROW($G$100)+1),9),2))),"")</f>
        <v xml:space="preserve"> </v>
      </c>
      <c r="R40" s="1" t="str" cm="1">
        <f t="array" ref="R40">IFERROR(IF(G40=G39,R39,CONCATENATE(INDEX(A40:$G$100,SMALL(IF(G40:$G$100=G40,ROW(G40:$G$100)-ROW(G40)+1,ROW($G$100)+1),10),1)," ",INDEX(A40:$G$100,SMALL(IF(G40:$G$100=G40,ROW(G40:$G$100)-ROW(G40)+1,ROW($G$100)+1),10),2))),"")</f>
        <v xml:space="preserve"> </v>
      </c>
    </row>
    <row r="41" spans="1:18" s="7" customFormat="1" x14ac:dyDescent="0.2">
      <c r="A41" s="10"/>
      <c r="B41" s="10"/>
      <c r="C41" s="10"/>
      <c r="D41" s="8" t="str">
        <f t="shared" si="4"/>
        <v/>
      </c>
      <c r="E41" s="8" t="str">
        <f t="shared" si="5"/>
        <v/>
      </c>
      <c r="F41" s="8" t="str">
        <f t="shared" si="6"/>
        <v/>
      </c>
      <c r="G41" s="12"/>
      <c r="H41" s="8" t="str">
        <f t="shared" si="0"/>
        <v/>
      </c>
      <c r="I41" s="7" t="str" cm="1">
        <f t="array" ref="I41">IFERROR(IF(G41=G40,I40,CONCATENATE(INDEX(A41:$G$100,SMALL(IF(G41:$G$100=G41,ROW(G41:$G$100)-ROW(G41)+1,ROW($G$100)+1),1),1)," ",INDEX(A41:$G$100,SMALL(IF(G41:$G$100=G41,ROW(G41:$G$100)-ROW(G41)+1,ROW($G$100)+1),1),2))),"")</f>
        <v xml:space="preserve"> </v>
      </c>
      <c r="J41" s="7" t="str" cm="1">
        <f t="array" ref="J41">IFERROR(IF(G41=G40,J40,CONCATENATE(INDEX(A41:$G$100,SMALL(IF(G41:$G$100=G41,ROW(G41:$G$100)-ROW(G41)+1,ROW($G$100)+1),2),1)," ",INDEX(A41:$G$100,SMALL(IF(G41:$G$100=G41,ROW(G41:$G$100)-ROW(G41)+1,ROW($G$100)+1),2),2))),"")</f>
        <v xml:space="preserve"> </v>
      </c>
      <c r="K41" s="7" t="str" cm="1">
        <f t="array" ref="K41">IFERROR(IF(G41=G40,K40,CONCATENATE(INDEX(A41:$G$100,SMALL(IF(G41:$G$100=G41,ROW(G41:$G$100)-ROW(G41)+1,ROW($G$100)+1),3),1)," ",INDEX(A41:$G$100,SMALL(IF(G41:$G$100=G41,ROW(G41:$G$100)-ROW(G41)+1,ROW($G$100)+1),3),2))),"")</f>
        <v xml:space="preserve"> </v>
      </c>
      <c r="L41" s="7" t="str" cm="1">
        <f t="array" ref="L41">IFERROR(IF(G41=G40,L40,CONCATENATE(INDEX(A41:$G$100,SMALL(IF(G41:$G$100=G41,ROW(G41:$G$100)-ROW(G41)+1,ROW($G$100)+1),4),1)," ",INDEX(A41:$G$100,SMALL(IF(G41:$G$100=G41,ROW(G41:$G$100)-ROW(G41)+1,ROW($G$100)+1),4),2))),"")</f>
        <v xml:space="preserve"> </v>
      </c>
      <c r="M41" s="7" t="str" cm="1">
        <f t="array" ref="M41">IFERROR(IF(G41=G40,M40,CONCATENATE(INDEX(A41:$G$100,SMALL(IF(G41:$G$100=G41,ROW(G41:$G$100)-ROW(G41)+1,ROW($G$100)+1),5),1)," ",INDEX(A41:$G$100,SMALL(IF(G41:$G$100=G41,ROW(G41:$G$100)-ROW(G41)+1,ROW($G$100)+1),5),2))),"")</f>
        <v xml:space="preserve"> </v>
      </c>
      <c r="N41" s="7" t="str" cm="1">
        <f t="array" ref="N41">IFERROR(IF(G41=G40,N40,CONCATENATE(INDEX(A41:$G$100,SMALL(IF(G41:$G$100=G41,ROW(G41:$G$100)-ROW(G41)+1,ROW($G$100)+1),6),1)," ",INDEX(A41:$G$100,SMALL(IF(G41:$G$100=G41,ROW(G41:$G$100)-ROW(G41)+1,ROW($G$100)+1),6),2))),"")</f>
        <v xml:space="preserve"> </v>
      </c>
      <c r="O41" s="7" t="str" cm="1">
        <f t="array" ref="O41">IFERROR(IF(G41=G40,O40,CONCATENATE(INDEX(A41:$G$100,SMALL(IF(G41:$G$100=G41,ROW(G41:$G$100)-ROW(G41)+1,ROW($G$100)+1),7),1)," ",INDEX(A41:$G$100,SMALL(IF(G41:$G$100=G41,ROW(G41:$G$100)-ROW(G41)+1,ROW($G$100)+1),7),2))),"")</f>
        <v xml:space="preserve"> </v>
      </c>
      <c r="P41" s="7" t="str" cm="1">
        <f t="array" ref="P41">IFERROR(IF(G41=G40,P40,CONCATENATE(INDEX(A41:$G$100,SMALL(IF(G41:$G$100=G41,ROW(G41:$G$100)-ROW(G41)+1,ROW($G$100)+1),8),1)," ",INDEX(A41:$G$100,SMALL(IF(G41:$G$100=G41,ROW(G41:$G$100)-ROW(G41)+1,ROW($G$100)+1),8),2))),"")</f>
        <v xml:space="preserve"> </v>
      </c>
      <c r="Q41" s="7" t="str" cm="1">
        <f t="array" ref="Q41">IFERROR(IF(G41=G40,Q40,CONCATENATE(INDEX(A41:$G$100,SMALL(IF(G41:$G$100=G41,ROW(G41:$G$100)-ROW(G41)+1,ROW($G$100)+1),9),1)," ",INDEX(A41:$G$100,SMALL(IF(G41:$G$100=G41,ROW(G41:$G$100)-ROW(G41)+1,ROW($G$100)+1),9),2))),"")</f>
        <v xml:space="preserve"> </v>
      </c>
      <c r="R41" s="7" t="str" cm="1">
        <f t="array" ref="R41">IFERROR(IF(G41=G40,R40,CONCATENATE(INDEX(A41:$G$100,SMALL(IF(G41:$G$100=G41,ROW(G41:$G$100)-ROW(G41)+1,ROW($G$100)+1),10),1)," ",INDEX(A41:$G$100,SMALL(IF(G41:$G$100=G41,ROW(G41:$G$100)-ROW(G41)+1,ROW($G$100)+1),10),2))),"")</f>
        <v xml:space="preserve"> </v>
      </c>
    </row>
    <row r="42" spans="1:18" x14ac:dyDescent="0.2">
      <c r="A42" s="3"/>
      <c r="B42" s="3"/>
      <c r="C42" s="9"/>
      <c r="D42" s="2" t="str">
        <f t="shared" si="4"/>
        <v/>
      </c>
      <c r="E42" s="2" t="str">
        <f t="shared" si="5"/>
        <v/>
      </c>
      <c r="F42" s="2" t="str">
        <f t="shared" si="6"/>
        <v/>
      </c>
      <c r="G42" s="4"/>
      <c r="H42" s="2" t="str">
        <f t="shared" si="0"/>
        <v/>
      </c>
      <c r="I42" s="1" t="str" cm="1">
        <f t="array" ref="I42">IFERROR(IF(G42=G41,I41,CONCATENATE(INDEX(A42:$G$100,SMALL(IF(G42:$G$100=G42,ROW(G42:$G$100)-ROW(G42)+1,ROW($G$100)+1),1),1)," ",INDEX(A42:$G$100,SMALL(IF(G42:$G$100=G42,ROW(G42:$G$100)-ROW(G42)+1,ROW($G$100)+1),1),2))),"")</f>
        <v xml:space="preserve"> </v>
      </c>
      <c r="J42" s="1" t="str" cm="1">
        <f t="array" ref="J42">IFERROR(IF(G42=G41,J41,CONCATENATE(INDEX(A42:$G$100,SMALL(IF(G42:$G$100=G42,ROW(G42:$G$100)-ROW(G42)+1,ROW($G$100)+1),2),1)," ",INDEX(A42:$G$100,SMALL(IF(G42:$G$100=G42,ROW(G42:$G$100)-ROW(G42)+1,ROW($G$100)+1),2),2))),"")</f>
        <v xml:space="preserve"> </v>
      </c>
      <c r="K42" s="1" t="str" cm="1">
        <f t="array" ref="K42">IFERROR(IF(G42=G41,K41,CONCATENATE(INDEX(A42:$G$100,SMALL(IF(G42:$G$100=G42,ROW(G42:$G$100)-ROW(G42)+1,ROW($G$100)+1),3),1)," ",INDEX(A42:$G$100,SMALL(IF(G42:$G$100=G42,ROW(G42:$G$100)-ROW(G42)+1,ROW($G$100)+1),3),2))),"")</f>
        <v xml:space="preserve"> </v>
      </c>
      <c r="L42" s="1" t="str" cm="1">
        <f t="array" ref="L42">IFERROR(IF(G42=G41,L41,CONCATENATE(INDEX(A42:$G$100,SMALL(IF(G42:$G$100=G42,ROW(G42:$G$100)-ROW(G42)+1,ROW($G$100)+1),4),1)," ",INDEX(A42:$G$100,SMALL(IF(G42:$G$100=G42,ROW(G42:$G$100)-ROW(G42)+1,ROW($G$100)+1),4),2))),"")</f>
        <v xml:space="preserve"> </v>
      </c>
      <c r="M42" s="1" t="str" cm="1">
        <f t="array" ref="M42">IFERROR(IF(G42=G41,M41,CONCATENATE(INDEX(A42:$G$100,SMALL(IF(G42:$G$100=G42,ROW(G42:$G$100)-ROW(G42)+1,ROW($G$100)+1),5),1)," ",INDEX(A42:$G$100,SMALL(IF(G42:$G$100=G42,ROW(G42:$G$100)-ROW(G42)+1,ROW($G$100)+1),5),2))),"")</f>
        <v xml:space="preserve"> </v>
      </c>
      <c r="N42" s="1" t="str" cm="1">
        <f t="array" ref="N42">IFERROR(IF(G42=G41,N41,CONCATENATE(INDEX(A42:$G$100,SMALL(IF(G42:$G$100=G42,ROW(G42:$G$100)-ROW(G42)+1,ROW($G$100)+1),6),1)," ",INDEX(A42:$G$100,SMALL(IF(G42:$G$100=G42,ROW(G42:$G$100)-ROW(G42)+1,ROW($G$100)+1),6),2))),"")</f>
        <v xml:space="preserve"> </v>
      </c>
      <c r="O42" s="1" t="str" cm="1">
        <f t="array" ref="O42">IFERROR(IF(G42=G41,O41,CONCATENATE(INDEX(A42:$G$100,SMALL(IF(G42:$G$100=G42,ROW(G42:$G$100)-ROW(G42)+1,ROW($G$100)+1),7),1)," ",INDEX(A42:$G$100,SMALL(IF(G42:$G$100=G42,ROW(G42:$G$100)-ROW(G42)+1,ROW($G$100)+1),7),2))),"")</f>
        <v xml:space="preserve"> </v>
      </c>
      <c r="P42" s="1" t="str" cm="1">
        <f t="array" ref="P42">IFERROR(IF(G42=G41,P41,CONCATENATE(INDEX(A42:$G$100,SMALL(IF(G42:$G$100=G42,ROW(G42:$G$100)-ROW(G42)+1,ROW($G$100)+1),8),1)," ",INDEX(A42:$G$100,SMALL(IF(G42:$G$100=G42,ROW(G42:$G$100)-ROW(G42)+1,ROW($G$100)+1),8),2))),"")</f>
        <v xml:space="preserve"> </v>
      </c>
      <c r="Q42" s="1" t="str" cm="1">
        <f t="array" ref="Q42">IFERROR(IF(G42=G41,Q41,CONCATENATE(INDEX(A42:$G$100,SMALL(IF(G42:$G$100=G42,ROW(G42:$G$100)-ROW(G42)+1,ROW($G$100)+1),9),1)," ",INDEX(A42:$G$100,SMALL(IF(G42:$G$100=G42,ROW(G42:$G$100)-ROW(G42)+1,ROW($G$100)+1),9),2))),"")</f>
        <v xml:space="preserve"> </v>
      </c>
      <c r="R42" s="1" t="str" cm="1">
        <f t="array" ref="R42">IFERROR(IF(G42=G41,R41,CONCATENATE(INDEX(A42:$G$100,SMALL(IF(G42:$G$100=G42,ROW(G42:$G$100)-ROW(G42)+1,ROW($G$100)+1),10),1)," ",INDEX(A42:$G$100,SMALL(IF(G42:$G$100=G42,ROW(G42:$G$100)-ROW(G42)+1,ROW($G$100)+1),10),2))),"")</f>
        <v xml:space="preserve"> </v>
      </c>
    </row>
    <row r="43" spans="1:18" s="7" customFormat="1" x14ac:dyDescent="0.2">
      <c r="A43" s="10"/>
      <c r="B43" s="10"/>
      <c r="C43" s="11"/>
      <c r="D43" s="8" t="str">
        <f t="shared" si="4"/>
        <v/>
      </c>
      <c r="E43" s="8" t="str">
        <f t="shared" si="5"/>
        <v/>
      </c>
      <c r="F43" s="8" t="str">
        <f t="shared" si="6"/>
        <v/>
      </c>
      <c r="G43" s="12"/>
      <c r="H43" s="8" t="str">
        <f t="shared" si="0"/>
        <v/>
      </c>
      <c r="I43" s="7" t="str" cm="1">
        <f t="array" ref="I43">IFERROR(IF(G43=G42,I42,CONCATENATE(INDEX(A43:$G$100,SMALL(IF(G43:$G$100=G43,ROW(G43:$G$100)-ROW(G43)+1,ROW($G$100)+1),1),1)," ",INDEX(A43:$G$100,SMALL(IF(G43:$G$100=G43,ROW(G43:$G$100)-ROW(G43)+1,ROW($G$100)+1),1),2))),"")</f>
        <v xml:space="preserve"> </v>
      </c>
      <c r="J43" s="7" t="str" cm="1">
        <f t="array" ref="J43">IFERROR(IF(G43=G42,J42,CONCATENATE(INDEX(A43:$G$100,SMALL(IF(G43:$G$100=G43,ROW(G43:$G$100)-ROW(G43)+1,ROW($G$100)+1),2),1)," ",INDEX(A43:$G$100,SMALL(IF(G43:$G$100=G43,ROW(G43:$G$100)-ROW(G43)+1,ROW($G$100)+1),2),2))),"")</f>
        <v xml:space="preserve"> </v>
      </c>
      <c r="K43" s="7" t="str" cm="1">
        <f t="array" ref="K43">IFERROR(IF(G43=G42,K42,CONCATENATE(INDEX(A43:$G$100,SMALL(IF(G43:$G$100=G43,ROW(G43:$G$100)-ROW(G43)+1,ROW($G$100)+1),3),1)," ",INDEX(A43:$G$100,SMALL(IF(G43:$G$100=G43,ROW(G43:$G$100)-ROW(G43)+1,ROW($G$100)+1),3),2))),"")</f>
        <v xml:space="preserve"> </v>
      </c>
      <c r="L43" s="7" t="str" cm="1">
        <f t="array" ref="L43">IFERROR(IF(G43=G42,L42,CONCATENATE(INDEX(A43:$G$100,SMALL(IF(G43:$G$100=G43,ROW(G43:$G$100)-ROW(G43)+1,ROW($G$100)+1),4),1)," ",INDEX(A43:$G$100,SMALL(IF(G43:$G$100=G43,ROW(G43:$G$100)-ROW(G43)+1,ROW($G$100)+1),4),2))),"")</f>
        <v xml:space="preserve"> </v>
      </c>
      <c r="M43" s="7" t="str" cm="1">
        <f t="array" ref="M43">IFERROR(IF(G43=G42,M42,CONCATENATE(INDEX(A43:$G$100,SMALL(IF(G43:$G$100=G43,ROW(G43:$G$100)-ROW(G43)+1,ROW($G$100)+1),5),1)," ",INDEX(A43:$G$100,SMALL(IF(G43:$G$100=G43,ROW(G43:$G$100)-ROW(G43)+1,ROW($G$100)+1),5),2))),"")</f>
        <v xml:space="preserve"> </v>
      </c>
      <c r="N43" s="7" t="str" cm="1">
        <f t="array" ref="N43">IFERROR(IF(G43=G42,N42,CONCATENATE(INDEX(A43:$G$100,SMALL(IF(G43:$G$100=G43,ROW(G43:$G$100)-ROW(G43)+1,ROW($G$100)+1),6),1)," ",INDEX(A43:$G$100,SMALL(IF(G43:$G$100=G43,ROW(G43:$G$100)-ROW(G43)+1,ROW($G$100)+1),6),2))),"")</f>
        <v xml:space="preserve"> </v>
      </c>
      <c r="O43" s="7" t="str" cm="1">
        <f t="array" ref="O43">IFERROR(IF(G43=G42,O42,CONCATENATE(INDEX(A43:$G$100,SMALL(IF(G43:$G$100=G43,ROW(G43:$G$100)-ROW(G43)+1,ROW($G$100)+1),7),1)," ",INDEX(A43:$G$100,SMALL(IF(G43:$G$100=G43,ROW(G43:$G$100)-ROW(G43)+1,ROW($G$100)+1),7),2))),"")</f>
        <v xml:space="preserve"> </v>
      </c>
      <c r="P43" s="7" t="str" cm="1">
        <f t="array" ref="P43">IFERROR(IF(G43=G42,P42,CONCATENATE(INDEX(A43:$G$100,SMALL(IF(G43:$G$100=G43,ROW(G43:$G$100)-ROW(G43)+1,ROW($G$100)+1),8),1)," ",INDEX(A43:$G$100,SMALL(IF(G43:$G$100=G43,ROW(G43:$G$100)-ROW(G43)+1,ROW($G$100)+1),8),2))),"")</f>
        <v xml:space="preserve"> </v>
      </c>
      <c r="Q43" s="7" t="str" cm="1">
        <f t="array" ref="Q43">IFERROR(IF(G43=G42,Q42,CONCATENATE(INDEX(A43:$G$100,SMALL(IF(G43:$G$100=G43,ROW(G43:$G$100)-ROW(G43)+1,ROW($G$100)+1),9),1)," ",INDEX(A43:$G$100,SMALL(IF(G43:$G$100=G43,ROW(G43:$G$100)-ROW(G43)+1,ROW($G$100)+1),9),2))),"")</f>
        <v xml:space="preserve"> </v>
      </c>
      <c r="R43" s="7" t="str" cm="1">
        <f t="array" ref="R43">IFERROR(IF(G43=G42,R42,CONCATENATE(INDEX(A43:$G$100,SMALL(IF(G43:$G$100=G43,ROW(G43:$G$100)-ROW(G43)+1,ROW($G$100)+1),10),1)," ",INDEX(A43:$G$100,SMALL(IF(G43:$G$100=G43,ROW(G43:$G$100)-ROW(G43)+1,ROW($G$100)+1),10),2))),"")</f>
        <v xml:space="preserve"> </v>
      </c>
    </row>
    <row r="44" spans="1:18" x14ac:dyDescent="0.2">
      <c r="A44" s="3"/>
      <c r="B44" s="3"/>
      <c r="C44" s="9"/>
      <c r="D44" s="2" t="str">
        <f t="shared" si="4"/>
        <v/>
      </c>
      <c r="E44" s="2" t="str">
        <f t="shared" si="5"/>
        <v/>
      </c>
      <c r="F44" s="2" t="str">
        <f t="shared" si="6"/>
        <v/>
      </c>
      <c r="G44" s="4"/>
      <c r="H44" s="2" t="str">
        <f t="shared" si="0"/>
        <v/>
      </c>
      <c r="I44" s="1" t="str" cm="1">
        <f t="array" ref="I44">IFERROR(IF(G44=G43,I43,CONCATENATE(INDEX(A44:$G$100,SMALL(IF(G44:$G$100=G44,ROW(G44:$G$100)-ROW(G44)+1,ROW($G$100)+1),1),1)," ",INDEX(A44:$G$100,SMALL(IF(G44:$G$100=G44,ROW(G44:$G$100)-ROW(G44)+1,ROW($G$100)+1),1),2))),"")</f>
        <v xml:space="preserve"> </v>
      </c>
      <c r="J44" s="1" t="str" cm="1">
        <f t="array" ref="J44">IFERROR(IF(G44=G43,J43,CONCATENATE(INDEX(A44:$G$100,SMALL(IF(G44:$G$100=G44,ROW(G44:$G$100)-ROW(G44)+1,ROW($G$100)+1),2),1)," ",INDEX(A44:$G$100,SMALL(IF(G44:$G$100=G44,ROW(G44:$G$100)-ROW(G44)+1,ROW($G$100)+1),2),2))),"")</f>
        <v xml:space="preserve"> </v>
      </c>
      <c r="K44" s="1" t="str" cm="1">
        <f t="array" ref="K44">IFERROR(IF(G44=G43,K43,CONCATENATE(INDEX(A44:$G$100,SMALL(IF(G44:$G$100=G44,ROW(G44:$G$100)-ROW(G44)+1,ROW($G$100)+1),3),1)," ",INDEX(A44:$G$100,SMALL(IF(G44:$G$100=G44,ROW(G44:$G$100)-ROW(G44)+1,ROW($G$100)+1),3),2))),"")</f>
        <v xml:space="preserve"> </v>
      </c>
      <c r="L44" s="1" t="str" cm="1">
        <f t="array" ref="L44">IFERROR(IF(G44=G43,L43,CONCATENATE(INDEX(A44:$G$100,SMALL(IF(G44:$G$100=G44,ROW(G44:$G$100)-ROW(G44)+1,ROW($G$100)+1),4),1)," ",INDEX(A44:$G$100,SMALL(IF(G44:$G$100=G44,ROW(G44:$G$100)-ROW(G44)+1,ROW($G$100)+1),4),2))),"")</f>
        <v xml:space="preserve"> </v>
      </c>
      <c r="M44" s="1" t="str" cm="1">
        <f t="array" ref="M44">IFERROR(IF(G44=G43,M43,CONCATENATE(INDEX(A44:$G$100,SMALL(IF(G44:$G$100=G44,ROW(G44:$G$100)-ROW(G44)+1,ROW($G$100)+1),5),1)," ",INDEX(A44:$G$100,SMALL(IF(G44:$G$100=G44,ROW(G44:$G$100)-ROW(G44)+1,ROW($G$100)+1),5),2))),"")</f>
        <v xml:space="preserve"> </v>
      </c>
      <c r="N44" s="1" t="str" cm="1">
        <f t="array" ref="N44">IFERROR(IF(G44=G43,N43,CONCATENATE(INDEX(A44:$G$100,SMALL(IF(G44:$G$100=G44,ROW(G44:$G$100)-ROW(G44)+1,ROW($G$100)+1),6),1)," ",INDEX(A44:$G$100,SMALL(IF(G44:$G$100=G44,ROW(G44:$G$100)-ROW(G44)+1,ROW($G$100)+1),6),2))),"")</f>
        <v xml:space="preserve"> </v>
      </c>
      <c r="O44" s="1" t="str" cm="1">
        <f t="array" ref="O44">IFERROR(IF(G44=G43,O43,CONCATENATE(INDEX(A44:$G$100,SMALL(IF(G44:$G$100=G44,ROW(G44:$G$100)-ROW(G44)+1,ROW($G$100)+1),7),1)," ",INDEX(A44:$G$100,SMALL(IF(G44:$G$100=G44,ROW(G44:$G$100)-ROW(G44)+1,ROW($G$100)+1),7),2))),"")</f>
        <v xml:space="preserve"> </v>
      </c>
      <c r="P44" s="1" t="str" cm="1">
        <f t="array" ref="P44">IFERROR(IF(G44=G43,P43,CONCATENATE(INDEX(A44:$G$100,SMALL(IF(G44:$G$100=G44,ROW(G44:$G$100)-ROW(G44)+1,ROW($G$100)+1),8),1)," ",INDEX(A44:$G$100,SMALL(IF(G44:$G$100=G44,ROW(G44:$G$100)-ROW(G44)+1,ROW($G$100)+1),8),2))),"")</f>
        <v xml:space="preserve"> </v>
      </c>
      <c r="Q44" s="1" t="str" cm="1">
        <f t="array" ref="Q44">IFERROR(IF(G44=G43,Q43,CONCATENATE(INDEX(A44:$G$100,SMALL(IF(G44:$G$100=G44,ROW(G44:$G$100)-ROW(G44)+1,ROW($G$100)+1),9),1)," ",INDEX(A44:$G$100,SMALL(IF(G44:$G$100=G44,ROW(G44:$G$100)-ROW(G44)+1,ROW($G$100)+1),9),2))),"")</f>
        <v xml:space="preserve"> </v>
      </c>
      <c r="R44" s="1" t="str" cm="1">
        <f t="array" ref="R44">IFERROR(IF(G44=G43,R43,CONCATENATE(INDEX(A44:$G$100,SMALL(IF(G44:$G$100=G44,ROW(G44:$G$100)-ROW(G44)+1,ROW($G$100)+1),10),1)," ",INDEX(A44:$G$100,SMALL(IF(G44:$G$100=G44,ROW(G44:$G$100)-ROW(G44)+1,ROW($G$100)+1),10),2))),"")</f>
        <v xml:space="preserve"> </v>
      </c>
    </row>
    <row r="45" spans="1:18" s="7" customFormat="1" x14ac:dyDescent="0.2">
      <c r="A45" s="10"/>
      <c r="B45" s="10"/>
      <c r="C45" s="11"/>
      <c r="D45" s="8" t="str">
        <f t="shared" si="4"/>
        <v/>
      </c>
      <c r="E45" s="8" t="str">
        <f t="shared" si="5"/>
        <v/>
      </c>
      <c r="F45" s="8" t="str">
        <f t="shared" si="6"/>
        <v/>
      </c>
      <c r="G45" s="12"/>
      <c r="H45" s="8" t="str">
        <f t="shared" si="0"/>
        <v/>
      </c>
      <c r="I45" s="7" t="str" cm="1">
        <f t="array" ref="I45">IFERROR(IF(G45=G44,I44,CONCATENATE(INDEX(A45:$G$100,SMALL(IF(G45:$G$100=G45,ROW(G45:$G$100)-ROW(G45)+1,ROW($G$100)+1),1),1)," ",INDEX(A45:$G$100,SMALL(IF(G45:$G$100=G45,ROW(G45:$G$100)-ROW(G45)+1,ROW($G$100)+1),1),2))),"")</f>
        <v xml:space="preserve"> </v>
      </c>
      <c r="J45" s="7" t="str" cm="1">
        <f t="array" ref="J45">IFERROR(IF(G45=G44,J44,CONCATENATE(INDEX(A45:$G$100,SMALL(IF(G45:$G$100=G45,ROW(G45:$G$100)-ROW(G45)+1,ROW($G$100)+1),2),1)," ",INDEX(A45:$G$100,SMALL(IF(G45:$G$100=G45,ROW(G45:$G$100)-ROW(G45)+1,ROW($G$100)+1),2),2))),"")</f>
        <v xml:space="preserve"> </v>
      </c>
      <c r="K45" s="7" t="str" cm="1">
        <f t="array" ref="K45">IFERROR(IF(G45=G44,K44,CONCATENATE(INDEX(A45:$G$100,SMALL(IF(G45:$G$100=G45,ROW(G45:$G$100)-ROW(G45)+1,ROW($G$100)+1),3),1)," ",INDEX(A45:$G$100,SMALL(IF(G45:$G$100=G45,ROW(G45:$G$100)-ROW(G45)+1,ROW($G$100)+1),3),2))),"")</f>
        <v xml:space="preserve"> </v>
      </c>
      <c r="L45" s="7" t="str" cm="1">
        <f t="array" ref="L45">IFERROR(IF(G45=G44,L44,CONCATENATE(INDEX(A45:$G$100,SMALL(IF(G45:$G$100=G45,ROW(G45:$G$100)-ROW(G45)+1,ROW($G$100)+1),4),1)," ",INDEX(A45:$G$100,SMALL(IF(G45:$G$100=G45,ROW(G45:$G$100)-ROW(G45)+1,ROW($G$100)+1),4),2))),"")</f>
        <v xml:space="preserve"> </v>
      </c>
      <c r="M45" s="7" t="str" cm="1">
        <f t="array" ref="M45">IFERROR(IF(G45=G44,M44,CONCATENATE(INDEX(A45:$G$100,SMALL(IF(G45:$G$100=G45,ROW(G45:$G$100)-ROW(G45)+1,ROW($G$100)+1),5),1)," ",INDEX(A45:$G$100,SMALL(IF(G45:$G$100=G45,ROW(G45:$G$100)-ROW(G45)+1,ROW($G$100)+1),5),2))),"")</f>
        <v xml:space="preserve"> </v>
      </c>
      <c r="N45" s="7" t="str" cm="1">
        <f t="array" ref="N45">IFERROR(IF(G45=G44,N44,CONCATENATE(INDEX(A45:$G$100,SMALL(IF(G45:$G$100=G45,ROW(G45:$G$100)-ROW(G45)+1,ROW($G$100)+1),6),1)," ",INDEX(A45:$G$100,SMALL(IF(G45:$G$100=G45,ROW(G45:$G$100)-ROW(G45)+1,ROW($G$100)+1),6),2))),"")</f>
        <v xml:space="preserve"> </v>
      </c>
      <c r="O45" s="7" t="str" cm="1">
        <f t="array" ref="O45">IFERROR(IF(G45=G44,O44,CONCATENATE(INDEX(A45:$G$100,SMALL(IF(G45:$G$100=G45,ROW(G45:$G$100)-ROW(G45)+1,ROW($G$100)+1),7),1)," ",INDEX(A45:$G$100,SMALL(IF(G45:$G$100=G45,ROW(G45:$G$100)-ROW(G45)+1,ROW($G$100)+1),7),2))),"")</f>
        <v xml:space="preserve"> </v>
      </c>
      <c r="P45" s="7" t="str" cm="1">
        <f t="array" ref="P45">IFERROR(IF(G45=G44,P44,CONCATENATE(INDEX(A45:$G$100,SMALL(IF(G45:$G$100=G45,ROW(G45:$G$100)-ROW(G45)+1,ROW($G$100)+1),8),1)," ",INDEX(A45:$G$100,SMALL(IF(G45:$G$100=G45,ROW(G45:$G$100)-ROW(G45)+1,ROW($G$100)+1),8),2))),"")</f>
        <v xml:space="preserve"> </v>
      </c>
      <c r="Q45" s="7" t="str" cm="1">
        <f t="array" ref="Q45">IFERROR(IF(G45=G44,Q44,CONCATENATE(INDEX(A45:$G$100,SMALL(IF(G45:$G$100=G45,ROW(G45:$G$100)-ROW(G45)+1,ROW($G$100)+1),9),1)," ",INDEX(A45:$G$100,SMALL(IF(G45:$G$100=G45,ROW(G45:$G$100)-ROW(G45)+1,ROW($G$100)+1),9),2))),"")</f>
        <v xml:space="preserve"> </v>
      </c>
      <c r="R45" s="7" t="str" cm="1">
        <f t="array" ref="R45">IFERROR(IF(G45=G44,R44,CONCATENATE(INDEX(A45:$G$100,SMALL(IF(G45:$G$100=G45,ROW(G45:$G$100)-ROW(G45)+1,ROW($G$100)+1),10),1)," ",INDEX(A45:$G$100,SMALL(IF(G45:$G$100=G45,ROW(G45:$G$100)-ROW(G45)+1,ROW($G$100)+1),10),2))),"")</f>
        <v xml:space="preserve"> </v>
      </c>
    </row>
    <row r="46" spans="1:18" x14ac:dyDescent="0.2">
      <c r="A46" s="3"/>
      <c r="B46" s="3"/>
      <c r="C46" s="9"/>
      <c r="D46" s="2" t="str">
        <f t="shared" si="4"/>
        <v/>
      </c>
      <c r="E46" s="2" t="str">
        <f t="shared" si="5"/>
        <v/>
      </c>
      <c r="F46" s="2" t="str">
        <f t="shared" si="6"/>
        <v/>
      </c>
      <c r="G46" s="4"/>
      <c r="H46" s="2" t="str">
        <f t="shared" si="0"/>
        <v/>
      </c>
      <c r="I46" s="1" t="str" cm="1">
        <f t="array" ref="I46">IFERROR(IF(G46=G45,I45,CONCATENATE(INDEX(A46:$G$100,SMALL(IF(G46:$G$100=G46,ROW(G46:$G$100)-ROW(G46)+1,ROW($G$100)+1),1),1)," ",INDEX(A46:$G$100,SMALL(IF(G46:$G$100=G46,ROW(G46:$G$100)-ROW(G46)+1,ROW($G$100)+1),1),2))),"")</f>
        <v xml:space="preserve"> </v>
      </c>
      <c r="J46" s="1" t="str" cm="1">
        <f t="array" ref="J46">IFERROR(IF(G46=G45,J45,CONCATENATE(INDEX(A46:$G$100,SMALL(IF(G46:$G$100=G46,ROW(G46:$G$100)-ROW(G46)+1,ROW($G$100)+1),2),1)," ",INDEX(A46:$G$100,SMALL(IF(G46:$G$100=G46,ROW(G46:$G$100)-ROW(G46)+1,ROW($G$100)+1),2),2))),"")</f>
        <v xml:space="preserve"> </v>
      </c>
      <c r="K46" s="1" t="str" cm="1">
        <f t="array" ref="K46">IFERROR(IF(G46=G45,K45,CONCATENATE(INDEX(A46:$G$100,SMALL(IF(G46:$G$100=G46,ROW(G46:$G$100)-ROW(G46)+1,ROW($G$100)+1),3),1)," ",INDEX(A46:$G$100,SMALL(IF(G46:$G$100=G46,ROW(G46:$G$100)-ROW(G46)+1,ROW($G$100)+1),3),2))),"")</f>
        <v xml:space="preserve"> </v>
      </c>
      <c r="L46" s="1" t="str" cm="1">
        <f t="array" ref="L46">IFERROR(IF(G46=G45,L45,CONCATENATE(INDEX(A46:$G$100,SMALL(IF(G46:$G$100=G46,ROW(G46:$G$100)-ROW(G46)+1,ROW($G$100)+1),4),1)," ",INDEX(A46:$G$100,SMALL(IF(G46:$G$100=G46,ROW(G46:$G$100)-ROW(G46)+1,ROW($G$100)+1),4),2))),"")</f>
        <v xml:space="preserve"> </v>
      </c>
      <c r="M46" s="1" t="str" cm="1">
        <f t="array" ref="M46">IFERROR(IF(G46=G45,M45,CONCATENATE(INDEX(A46:$G$100,SMALL(IF(G46:$G$100=G46,ROW(G46:$G$100)-ROW(G46)+1,ROW($G$100)+1),5),1)," ",INDEX(A46:$G$100,SMALL(IF(G46:$G$100=G46,ROW(G46:$G$100)-ROW(G46)+1,ROW($G$100)+1),5),2))),"")</f>
        <v xml:space="preserve"> </v>
      </c>
      <c r="N46" s="1" t="str" cm="1">
        <f t="array" ref="N46">IFERROR(IF(G46=G45,N45,CONCATENATE(INDEX(A46:$G$100,SMALL(IF(G46:$G$100=G46,ROW(G46:$G$100)-ROW(G46)+1,ROW($G$100)+1),6),1)," ",INDEX(A46:$G$100,SMALL(IF(G46:$G$100=G46,ROW(G46:$G$100)-ROW(G46)+1,ROW($G$100)+1),6),2))),"")</f>
        <v xml:space="preserve"> </v>
      </c>
      <c r="O46" s="1" t="str" cm="1">
        <f t="array" ref="O46">IFERROR(IF(G46=G45,O45,CONCATENATE(INDEX(A46:$G$100,SMALL(IF(G46:$G$100=G46,ROW(G46:$G$100)-ROW(G46)+1,ROW($G$100)+1),7),1)," ",INDEX(A46:$G$100,SMALL(IF(G46:$G$100=G46,ROW(G46:$G$100)-ROW(G46)+1,ROW($G$100)+1),7),2))),"")</f>
        <v xml:space="preserve"> </v>
      </c>
      <c r="P46" s="1" t="str" cm="1">
        <f t="array" ref="P46">IFERROR(IF(G46=G45,P45,CONCATENATE(INDEX(A46:$G$100,SMALL(IF(G46:$G$100=G46,ROW(G46:$G$100)-ROW(G46)+1,ROW($G$100)+1),8),1)," ",INDEX(A46:$G$100,SMALL(IF(G46:$G$100=G46,ROW(G46:$G$100)-ROW(G46)+1,ROW($G$100)+1),8),2))),"")</f>
        <v xml:space="preserve"> </v>
      </c>
      <c r="Q46" s="1" t="str" cm="1">
        <f t="array" ref="Q46">IFERROR(IF(G46=G45,Q45,CONCATENATE(INDEX(A46:$G$100,SMALL(IF(G46:$G$100=G46,ROW(G46:$G$100)-ROW(G46)+1,ROW($G$100)+1),9),1)," ",INDEX(A46:$G$100,SMALL(IF(G46:$G$100=G46,ROW(G46:$G$100)-ROW(G46)+1,ROW($G$100)+1),9),2))),"")</f>
        <v xml:space="preserve"> </v>
      </c>
      <c r="R46" s="1" t="str" cm="1">
        <f t="array" ref="R46">IFERROR(IF(G46=G45,R45,CONCATENATE(INDEX(A46:$G$100,SMALL(IF(G46:$G$100=G46,ROW(G46:$G$100)-ROW(G46)+1,ROW($G$100)+1),10),1)," ",INDEX(A46:$G$100,SMALL(IF(G46:$G$100=G46,ROW(G46:$G$100)-ROW(G46)+1,ROW($G$100)+1),10),2))),"")</f>
        <v xml:space="preserve"> </v>
      </c>
    </row>
    <row r="47" spans="1:18" s="7" customFormat="1" x14ac:dyDescent="0.2">
      <c r="A47" s="10"/>
      <c r="B47" s="10"/>
      <c r="C47" s="11"/>
      <c r="D47" s="8" t="str">
        <f t="shared" si="4"/>
        <v/>
      </c>
      <c r="E47" s="8" t="str">
        <f t="shared" si="5"/>
        <v/>
      </c>
      <c r="F47" s="8" t="str">
        <f t="shared" si="6"/>
        <v/>
      </c>
      <c r="G47" s="12"/>
      <c r="H47" s="8" t="str">
        <f t="shared" si="0"/>
        <v/>
      </c>
      <c r="I47" s="7" t="str" cm="1">
        <f t="array" ref="I47">IFERROR(IF(G47=G46,I46,CONCATENATE(INDEX(A47:$G$100,SMALL(IF(G47:$G$100=G47,ROW(G47:$G$100)-ROW(G47)+1,ROW($G$100)+1),1),1)," ",INDEX(A47:$G$100,SMALL(IF(G47:$G$100=G47,ROW(G47:$G$100)-ROW(G47)+1,ROW($G$100)+1),1),2))),"")</f>
        <v xml:space="preserve"> </v>
      </c>
      <c r="J47" s="7" t="str" cm="1">
        <f t="array" ref="J47">IFERROR(IF(G47=G46,J46,CONCATENATE(INDEX(A47:$G$100,SMALL(IF(G47:$G$100=G47,ROW(G47:$G$100)-ROW(G47)+1,ROW($G$100)+1),2),1)," ",INDEX(A47:$G$100,SMALL(IF(G47:$G$100=G47,ROW(G47:$G$100)-ROW(G47)+1,ROW($G$100)+1),2),2))),"")</f>
        <v xml:space="preserve"> </v>
      </c>
      <c r="K47" s="7" t="str" cm="1">
        <f t="array" ref="K47">IFERROR(IF(G47=G46,K46,CONCATENATE(INDEX(A47:$G$100,SMALL(IF(G47:$G$100=G47,ROW(G47:$G$100)-ROW(G47)+1,ROW($G$100)+1),3),1)," ",INDEX(A47:$G$100,SMALL(IF(G47:$G$100=G47,ROW(G47:$G$100)-ROW(G47)+1,ROW($G$100)+1),3),2))),"")</f>
        <v xml:space="preserve"> </v>
      </c>
      <c r="L47" s="7" t="str" cm="1">
        <f t="array" ref="L47">IFERROR(IF(G47=G46,L46,CONCATENATE(INDEX(A47:$G$100,SMALL(IF(G47:$G$100=G47,ROW(G47:$G$100)-ROW(G47)+1,ROW($G$100)+1),4),1)," ",INDEX(A47:$G$100,SMALL(IF(G47:$G$100=G47,ROW(G47:$G$100)-ROW(G47)+1,ROW($G$100)+1),4),2))),"")</f>
        <v xml:space="preserve"> </v>
      </c>
      <c r="M47" s="7" t="str" cm="1">
        <f t="array" ref="M47">IFERROR(IF(G47=G46,M46,CONCATENATE(INDEX(A47:$G$100,SMALL(IF(G47:$G$100=G47,ROW(G47:$G$100)-ROW(G47)+1,ROW($G$100)+1),5),1)," ",INDEX(A47:$G$100,SMALL(IF(G47:$G$100=G47,ROW(G47:$G$100)-ROW(G47)+1,ROW($G$100)+1),5),2))),"")</f>
        <v xml:space="preserve"> </v>
      </c>
      <c r="N47" s="7" t="str" cm="1">
        <f t="array" ref="N47">IFERROR(IF(G47=G46,N46,CONCATENATE(INDEX(A47:$G$100,SMALL(IF(G47:$G$100=G47,ROW(G47:$G$100)-ROW(G47)+1,ROW($G$100)+1),6),1)," ",INDEX(A47:$G$100,SMALL(IF(G47:$G$100=G47,ROW(G47:$G$100)-ROW(G47)+1,ROW($G$100)+1),6),2))),"")</f>
        <v xml:space="preserve"> </v>
      </c>
      <c r="O47" s="7" t="str" cm="1">
        <f t="array" ref="O47">IFERROR(IF(G47=G46,O46,CONCATENATE(INDEX(A47:$G$100,SMALL(IF(G47:$G$100=G47,ROW(G47:$G$100)-ROW(G47)+1,ROW($G$100)+1),7),1)," ",INDEX(A47:$G$100,SMALL(IF(G47:$G$100=G47,ROW(G47:$G$100)-ROW(G47)+1,ROW($G$100)+1),7),2))),"")</f>
        <v xml:space="preserve"> </v>
      </c>
      <c r="P47" s="7" t="str" cm="1">
        <f t="array" ref="P47">IFERROR(IF(G47=G46,P46,CONCATENATE(INDEX(A47:$G$100,SMALL(IF(G47:$G$100=G47,ROW(G47:$G$100)-ROW(G47)+1,ROW($G$100)+1),8),1)," ",INDEX(A47:$G$100,SMALL(IF(G47:$G$100=G47,ROW(G47:$G$100)-ROW(G47)+1,ROW($G$100)+1),8),2))),"")</f>
        <v xml:space="preserve"> </v>
      </c>
      <c r="Q47" s="7" t="str" cm="1">
        <f t="array" ref="Q47">IFERROR(IF(G47=G46,Q46,CONCATENATE(INDEX(A47:$G$100,SMALL(IF(G47:$G$100=G47,ROW(G47:$G$100)-ROW(G47)+1,ROW($G$100)+1),9),1)," ",INDEX(A47:$G$100,SMALL(IF(G47:$G$100=G47,ROW(G47:$G$100)-ROW(G47)+1,ROW($G$100)+1),9),2))),"")</f>
        <v xml:space="preserve"> </v>
      </c>
      <c r="R47" s="7" t="str" cm="1">
        <f t="array" ref="R47">IFERROR(IF(G47=G46,R46,CONCATENATE(INDEX(A47:$G$100,SMALL(IF(G47:$G$100=G47,ROW(G47:$G$100)-ROW(G47)+1,ROW($G$100)+1),10),1)," ",INDEX(A47:$G$100,SMALL(IF(G47:$G$100=G47,ROW(G47:$G$100)-ROW(G47)+1,ROW($G$100)+1),10),2))),"")</f>
        <v xml:space="preserve"> </v>
      </c>
    </row>
    <row r="48" spans="1:18" x14ac:dyDescent="0.2">
      <c r="A48" s="3"/>
      <c r="B48" s="3"/>
      <c r="C48" s="9"/>
      <c r="D48" s="2" t="str">
        <f t="shared" si="4"/>
        <v/>
      </c>
      <c r="E48" s="2" t="str">
        <f t="shared" si="5"/>
        <v/>
      </c>
      <c r="F48" s="2" t="str">
        <f t="shared" si="6"/>
        <v/>
      </c>
      <c r="G48" s="4"/>
      <c r="H48" s="2" t="str">
        <f t="shared" si="0"/>
        <v/>
      </c>
      <c r="I48" s="1" t="str" cm="1">
        <f t="array" ref="I48">IFERROR(IF(G48=G47,I47,CONCATENATE(INDEX(A48:$G$100,SMALL(IF(G48:$G$100=G48,ROW(G48:$G$100)-ROW(G48)+1,ROW($G$100)+1),1),1)," ",INDEX(A48:$G$100,SMALL(IF(G48:$G$100=G48,ROW(G48:$G$100)-ROW(G48)+1,ROW($G$100)+1),1),2))),"")</f>
        <v xml:space="preserve"> </v>
      </c>
      <c r="J48" s="1" t="str" cm="1">
        <f t="array" ref="J48">IFERROR(IF(G48=G47,J47,CONCATENATE(INDEX(A48:$G$100,SMALL(IF(G48:$G$100=G48,ROW(G48:$G$100)-ROW(G48)+1,ROW($G$100)+1),2),1)," ",INDEX(A48:$G$100,SMALL(IF(G48:$G$100=G48,ROW(G48:$G$100)-ROW(G48)+1,ROW($G$100)+1),2),2))),"")</f>
        <v xml:space="preserve"> </v>
      </c>
      <c r="K48" s="1" t="str" cm="1">
        <f t="array" ref="K48">IFERROR(IF(G48=G47,K47,CONCATENATE(INDEX(A48:$G$100,SMALL(IF(G48:$G$100=G48,ROW(G48:$G$100)-ROW(G48)+1,ROW($G$100)+1),3),1)," ",INDEX(A48:$G$100,SMALL(IF(G48:$G$100=G48,ROW(G48:$G$100)-ROW(G48)+1,ROW($G$100)+1),3),2))),"")</f>
        <v xml:space="preserve"> </v>
      </c>
      <c r="L48" s="1" t="str" cm="1">
        <f t="array" ref="L48">IFERROR(IF(G48=G47,L47,CONCATENATE(INDEX(A48:$G$100,SMALL(IF(G48:$G$100=G48,ROW(G48:$G$100)-ROW(G48)+1,ROW($G$100)+1),4),1)," ",INDEX(A48:$G$100,SMALL(IF(G48:$G$100=G48,ROW(G48:$G$100)-ROW(G48)+1,ROW($G$100)+1),4),2))),"")</f>
        <v xml:space="preserve"> </v>
      </c>
      <c r="M48" s="1" t="str" cm="1">
        <f t="array" ref="M48">IFERROR(IF(G48=G47,M47,CONCATENATE(INDEX(A48:$G$100,SMALL(IF(G48:$G$100=G48,ROW(G48:$G$100)-ROW(G48)+1,ROW($G$100)+1),5),1)," ",INDEX(A48:$G$100,SMALL(IF(G48:$G$100=G48,ROW(G48:$G$100)-ROW(G48)+1,ROW($G$100)+1),5),2))),"")</f>
        <v xml:space="preserve"> </v>
      </c>
      <c r="N48" s="1" t="str" cm="1">
        <f t="array" ref="N48">IFERROR(IF(G48=G47,N47,CONCATENATE(INDEX(A48:$G$100,SMALL(IF(G48:$G$100=G48,ROW(G48:$G$100)-ROW(G48)+1,ROW($G$100)+1),6),1)," ",INDEX(A48:$G$100,SMALL(IF(G48:$G$100=G48,ROW(G48:$G$100)-ROW(G48)+1,ROW($G$100)+1),6),2))),"")</f>
        <v xml:space="preserve"> </v>
      </c>
      <c r="O48" s="1" t="str" cm="1">
        <f t="array" ref="O48">IFERROR(IF(G48=G47,O47,CONCATENATE(INDEX(A48:$G$100,SMALL(IF(G48:$G$100=G48,ROW(G48:$G$100)-ROW(G48)+1,ROW($G$100)+1),7),1)," ",INDEX(A48:$G$100,SMALL(IF(G48:$G$100=G48,ROW(G48:$G$100)-ROW(G48)+1,ROW($G$100)+1),7),2))),"")</f>
        <v xml:space="preserve"> </v>
      </c>
      <c r="P48" s="1" t="str" cm="1">
        <f t="array" ref="P48">IFERROR(IF(G48=G47,P47,CONCATENATE(INDEX(A48:$G$100,SMALL(IF(G48:$G$100=G48,ROW(G48:$G$100)-ROW(G48)+1,ROW($G$100)+1),8),1)," ",INDEX(A48:$G$100,SMALL(IF(G48:$G$100=G48,ROW(G48:$G$100)-ROW(G48)+1,ROW($G$100)+1),8),2))),"")</f>
        <v xml:space="preserve"> </v>
      </c>
      <c r="Q48" s="1" t="str" cm="1">
        <f t="array" ref="Q48">IFERROR(IF(G48=G47,Q47,CONCATENATE(INDEX(A48:$G$100,SMALL(IF(G48:$G$100=G48,ROW(G48:$G$100)-ROW(G48)+1,ROW($G$100)+1),9),1)," ",INDEX(A48:$G$100,SMALL(IF(G48:$G$100=G48,ROW(G48:$G$100)-ROW(G48)+1,ROW($G$100)+1),9),2))),"")</f>
        <v xml:space="preserve"> </v>
      </c>
      <c r="R48" s="1" t="str" cm="1">
        <f t="array" ref="R48">IFERROR(IF(G48=G47,R47,CONCATENATE(INDEX(A48:$G$100,SMALL(IF(G48:$G$100=G48,ROW(G48:$G$100)-ROW(G48)+1,ROW($G$100)+1),10),1)," ",INDEX(A48:$G$100,SMALL(IF(G48:$G$100=G48,ROW(G48:$G$100)-ROW(G48)+1,ROW($G$100)+1),10),2))),"")</f>
        <v xml:space="preserve"> </v>
      </c>
    </row>
    <row r="49" spans="1:18" s="7" customFormat="1" x14ac:dyDescent="0.2">
      <c r="A49" s="10"/>
      <c r="B49" s="10"/>
      <c r="C49" s="11"/>
      <c r="D49" s="8" t="str">
        <f t="shared" si="4"/>
        <v/>
      </c>
      <c r="E49" s="8" t="str">
        <f t="shared" si="5"/>
        <v/>
      </c>
      <c r="F49" s="8" t="str">
        <f t="shared" si="6"/>
        <v/>
      </c>
      <c r="G49" s="12"/>
      <c r="H49" s="8" t="str">
        <f t="shared" si="0"/>
        <v/>
      </c>
      <c r="I49" s="7" t="str" cm="1">
        <f t="array" ref="I49">IFERROR(IF(G49=G48,I48,CONCATENATE(INDEX(A49:$G$100,SMALL(IF(G49:$G$100=G49,ROW(G49:$G$100)-ROW(G49)+1,ROW($G$100)+1),1),1)," ",INDEX(A49:$G$100,SMALL(IF(G49:$G$100=G49,ROW(G49:$G$100)-ROW(G49)+1,ROW($G$100)+1),1),2))),"")</f>
        <v xml:space="preserve"> </v>
      </c>
      <c r="J49" s="7" t="str" cm="1">
        <f t="array" ref="J49">IFERROR(IF(G49=G48,J48,CONCATENATE(INDEX(A49:$G$100,SMALL(IF(G49:$G$100=G49,ROW(G49:$G$100)-ROW(G49)+1,ROW($G$100)+1),2),1)," ",INDEX(A49:$G$100,SMALL(IF(G49:$G$100=G49,ROW(G49:$G$100)-ROW(G49)+1,ROW($G$100)+1),2),2))),"")</f>
        <v xml:space="preserve"> </v>
      </c>
      <c r="K49" s="7" t="str" cm="1">
        <f t="array" ref="K49">IFERROR(IF(G49=G48,K48,CONCATENATE(INDEX(A49:$G$100,SMALL(IF(G49:$G$100=G49,ROW(G49:$G$100)-ROW(G49)+1,ROW($G$100)+1),3),1)," ",INDEX(A49:$G$100,SMALL(IF(G49:$G$100=G49,ROW(G49:$G$100)-ROW(G49)+1,ROW($G$100)+1),3),2))),"")</f>
        <v xml:space="preserve"> </v>
      </c>
      <c r="L49" s="7" t="str" cm="1">
        <f t="array" ref="L49">IFERROR(IF(G49=G48,L48,CONCATENATE(INDEX(A49:$G$100,SMALL(IF(G49:$G$100=G49,ROW(G49:$G$100)-ROW(G49)+1,ROW($G$100)+1),4),1)," ",INDEX(A49:$G$100,SMALL(IF(G49:$G$100=G49,ROW(G49:$G$100)-ROW(G49)+1,ROW($G$100)+1),4),2))),"")</f>
        <v xml:space="preserve"> </v>
      </c>
      <c r="M49" s="7" t="str" cm="1">
        <f t="array" ref="M49">IFERROR(IF(G49=G48,M48,CONCATENATE(INDEX(A49:$G$100,SMALL(IF(G49:$G$100=G49,ROW(G49:$G$100)-ROW(G49)+1,ROW($G$100)+1),5),1)," ",INDEX(A49:$G$100,SMALL(IF(G49:$G$100=G49,ROW(G49:$G$100)-ROW(G49)+1,ROW($G$100)+1),5),2))),"")</f>
        <v xml:space="preserve"> </v>
      </c>
      <c r="N49" s="7" t="str" cm="1">
        <f t="array" ref="N49">IFERROR(IF(G49=G48,N48,CONCATENATE(INDEX(A49:$G$100,SMALL(IF(G49:$G$100=G49,ROW(G49:$G$100)-ROW(G49)+1,ROW($G$100)+1),6),1)," ",INDEX(A49:$G$100,SMALL(IF(G49:$G$100=G49,ROW(G49:$G$100)-ROW(G49)+1,ROW($G$100)+1),6),2))),"")</f>
        <v xml:space="preserve"> </v>
      </c>
      <c r="O49" s="7" t="str" cm="1">
        <f t="array" ref="O49">IFERROR(IF(G49=G48,O48,CONCATENATE(INDEX(A49:$G$100,SMALL(IF(G49:$G$100=G49,ROW(G49:$G$100)-ROW(G49)+1,ROW($G$100)+1),7),1)," ",INDEX(A49:$G$100,SMALL(IF(G49:$G$100=G49,ROW(G49:$G$100)-ROW(G49)+1,ROW($G$100)+1),7),2))),"")</f>
        <v xml:space="preserve"> </v>
      </c>
      <c r="P49" s="7" t="str" cm="1">
        <f t="array" ref="P49">IFERROR(IF(G49=G48,P48,CONCATENATE(INDEX(A49:$G$100,SMALL(IF(G49:$G$100=G49,ROW(G49:$G$100)-ROW(G49)+1,ROW($G$100)+1),8),1)," ",INDEX(A49:$G$100,SMALL(IF(G49:$G$100=G49,ROW(G49:$G$100)-ROW(G49)+1,ROW($G$100)+1),8),2))),"")</f>
        <v xml:space="preserve"> </v>
      </c>
      <c r="Q49" s="7" t="str" cm="1">
        <f t="array" ref="Q49">IFERROR(IF(G49=G48,Q48,CONCATENATE(INDEX(A49:$G$100,SMALL(IF(G49:$G$100=G49,ROW(G49:$G$100)-ROW(G49)+1,ROW($G$100)+1),9),1)," ",INDEX(A49:$G$100,SMALL(IF(G49:$G$100=G49,ROW(G49:$G$100)-ROW(G49)+1,ROW($G$100)+1),9),2))),"")</f>
        <v xml:space="preserve"> </v>
      </c>
      <c r="R49" s="7" t="str" cm="1">
        <f t="array" ref="R49">IFERROR(IF(G49=G48,R48,CONCATENATE(INDEX(A49:$G$100,SMALL(IF(G49:$G$100=G49,ROW(G49:$G$100)-ROW(G49)+1,ROW($G$100)+1),10),1)," ",INDEX(A49:$G$100,SMALL(IF(G49:$G$100=G49,ROW(G49:$G$100)-ROW(G49)+1,ROW($G$100)+1),10),2))),"")</f>
        <v xml:space="preserve"> </v>
      </c>
    </row>
    <row r="50" spans="1:18" x14ac:dyDescent="0.2">
      <c r="A50" s="3"/>
      <c r="B50" s="3"/>
      <c r="C50" s="9"/>
      <c r="D50" s="2" t="str">
        <f t="shared" si="4"/>
        <v/>
      </c>
      <c r="E50" s="2" t="str">
        <f t="shared" si="5"/>
        <v/>
      </c>
      <c r="F50" s="2" t="str">
        <f t="shared" si="6"/>
        <v/>
      </c>
      <c r="G50" s="4"/>
      <c r="H50" s="2" t="str">
        <f t="shared" si="0"/>
        <v/>
      </c>
      <c r="I50" s="1" t="str" cm="1">
        <f t="array" ref="I50">IFERROR(IF(G50=G49,I49,CONCATENATE(INDEX(A50:$G$100,SMALL(IF(G50:$G$100=G50,ROW(G50:$G$100)-ROW(G50)+1,ROW($G$100)+1),1),1)," ",INDEX(A50:$G$100,SMALL(IF(G50:$G$100=G50,ROW(G50:$G$100)-ROW(G50)+1,ROW($G$100)+1),1),2))),"")</f>
        <v xml:space="preserve"> </v>
      </c>
      <c r="J50" s="1" t="str" cm="1">
        <f t="array" ref="J50">IFERROR(IF(G50=G49,J49,CONCATENATE(INDEX(A50:$G$100,SMALL(IF(G50:$G$100=G50,ROW(G50:$G$100)-ROW(G50)+1,ROW($G$100)+1),2),1)," ",INDEX(A50:$G$100,SMALL(IF(G50:$G$100=G50,ROW(G50:$G$100)-ROW(G50)+1,ROW($G$100)+1),2),2))),"")</f>
        <v xml:space="preserve"> </v>
      </c>
      <c r="K50" s="1" t="str" cm="1">
        <f t="array" ref="K50">IFERROR(IF(G50=G49,K49,CONCATENATE(INDEX(A50:$G$100,SMALL(IF(G50:$G$100=G50,ROW(G50:$G$100)-ROW(G50)+1,ROW($G$100)+1),3),1)," ",INDEX(A50:$G$100,SMALL(IF(G50:$G$100=G50,ROW(G50:$G$100)-ROW(G50)+1,ROW($G$100)+1),3),2))),"")</f>
        <v xml:space="preserve"> </v>
      </c>
      <c r="L50" s="1" t="str" cm="1">
        <f t="array" ref="L50">IFERROR(IF(G50=G49,L49,CONCATENATE(INDEX(A50:$G$100,SMALL(IF(G50:$G$100=G50,ROW(G50:$G$100)-ROW(G50)+1,ROW($G$100)+1),4),1)," ",INDEX(A50:$G$100,SMALL(IF(G50:$G$100=G50,ROW(G50:$G$100)-ROW(G50)+1,ROW($G$100)+1),4),2))),"")</f>
        <v xml:space="preserve"> </v>
      </c>
      <c r="M50" s="1" t="str" cm="1">
        <f t="array" ref="M50">IFERROR(IF(G50=G49,M49,CONCATENATE(INDEX(A50:$G$100,SMALL(IF(G50:$G$100=G50,ROW(G50:$G$100)-ROW(G50)+1,ROW($G$100)+1),5),1)," ",INDEX(A50:$G$100,SMALL(IF(G50:$G$100=G50,ROW(G50:$G$100)-ROW(G50)+1,ROW($G$100)+1),5),2))),"")</f>
        <v xml:space="preserve"> </v>
      </c>
      <c r="N50" s="1" t="str" cm="1">
        <f t="array" ref="N50">IFERROR(IF(G50=G49,N49,CONCATENATE(INDEX(A50:$G$100,SMALL(IF(G50:$G$100=G50,ROW(G50:$G$100)-ROW(G50)+1,ROW($G$100)+1),6),1)," ",INDEX(A50:$G$100,SMALL(IF(G50:$G$100=G50,ROW(G50:$G$100)-ROW(G50)+1,ROW($G$100)+1),6),2))),"")</f>
        <v xml:space="preserve"> </v>
      </c>
      <c r="O50" s="1" t="str" cm="1">
        <f t="array" ref="O50">IFERROR(IF(G50=G49,O49,CONCATENATE(INDEX(A50:$G$100,SMALL(IF(G50:$G$100=G50,ROW(G50:$G$100)-ROW(G50)+1,ROW($G$100)+1),7),1)," ",INDEX(A50:$G$100,SMALL(IF(G50:$G$100=G50,ROW(G50:$G$100)-ROW(G50)+1,ROW($G$100)+1),7),2))),"")</f>
        <v xml:space="preserve"> </v>
      </c>
      <c r="P50" s="1" t="str" cm="1">
        <f t="array" ref="P50">IFERROR(IF(G50=G49,P49,CONCATENATE(INDEX(A50:$G$100,SMALL(IF(G50:$G$100=G50,ROW(G50:$G$100)-ROW(G50)+1,ROW($G$100)+1),8),1)," ",INDEX(A50:$G$100,SMALL(IF(G50:$G$100=G50,ROW(G50:$G$100)-ROW(G50)+1,ROW($G$100)+1),8),2))),"")</f>
        <v xml:space="preserve"> </v>
      </c>
      <c r="Q50" s="1" t="str" cm="1">
        <f t="array" ref="Q50">IFERROR(IF(G50=G49,Q49,CONCATENATE(INDEX(A50:$G$100,SMALL(IF(G50:$G$100=G50,ROW(G50:$G$100)-ROW(G50)+1,ROW($G$100)+1),9),1)," ",INDEX(A50:$G$100,SMALL(IF(G50:$G$100=G50,ROW(G50:$G$100)-ROW(G50)+1,ROW($G$100)+1),9),2))),"")</f>
        <v xml:space="preserve"> </v>
      </c>
      <c r="R50" s="1" t="str" cm="1">
        <f t="array" ref="R50">IFERROR(IF(G50=G49,R49,CONCATENATE(INDEX(A50:$G$100,SMALL(IF(G50:$G$100=G50,ROW(G50:$G$100)-ROW(G50)+1,ROW($G$100)+1),10),1)," ",INDEX(A50:$G$100,SMALL(IF(G50:$G$100=G50,ROW(G50:$G$100)-ROW(G50)+1,ROW($G$100)+1),10),2))),"")</f>
        <v xml:space="preserve"> </v>
      </c>
    </row>
    <row r="51" spans="1:18" s="7" customFormat="1" x14ac:dyDescent="0.2">
      <c r="A51" s="10"/>
      <c r="B51" s="10"/>
      <c r="C51" s="11"/>
      <c r="D51" s="8" t="str">
        <f t="shared" si="4"/>
        <v/>
      </c>
      <c r="E51" s="8" t="str">
        <f t="shared" si="5"/>
        <v/>
      </c>
      <c r="F51" s="8" t="str">
        <f t="shared" si="6"/>
        <v/>
      </c>
      <c r="G51" s="12"/>
      <c r="H51" s="8" t="str">
        <f t="shared" si="0"/>
        <v/>
      </c>
      <c r="I51" s="7" t="str" cm="1">
        <f t="array" ref="I51">IFERROR(IF(G51=G50,I50,CONCATENATE(INDEX(A51:$G$100,SMALL(IF(G51:$G$100=G51,ROW(G51:$G$100)-ROW(G51)+1,ROW($G$100)+1),1),1)," ",INDEX(A51:$G$100,SMALL(IF(G51:$G$100=G51,ROW(G51:$G$100)-ROW(G51)+1,ROW($G$100)+1),1),2))),"")</f>
        <v xml:space="preserve"> </v>
      </c>
      <c r="J51" s="7" t="str" cm="1">
        <f t="array" ref="J51">IFERROR(IF(G51=G50,J50,CONCATENATE(INDEX(A51:$G$100,SMALL(IF(G51:$G$100=G51,ROW(G51:$G$100)-ROW(G51)+1,ROW($G$100)+1),2),1)," ",INDEX(A51:$G$100,SMALL(IF(G51:$G$100=G51,ROW(G51:$G$100)-ROW(G51)+1,ROW($G$100)+1),2),2))),"")</f>
        <v xml:space="preserve"> </v>
      </c>
      <c r="K51" s="7" t="str" cm="1">
        <f t="array" ref="K51">IFERROR(IF(G51=G50,K50,CONCATENATE(INDEX(A51:$G$100,SMALL(IF(G51:$G$100=G51,ROW(G51:$G$100)-ROW(G51)+1,ROW($G$100)+1),3),1)," ",INDEX(A51:$G$100,SMALL(IF(G51:$G$100=G51,ROW(G51:$G$100)-ROW(G51)+1,ROW($G$100)+1),3),2))),"")</f>
        <v xml:space="preserve"> </v>
      </c>
      <c r="L51" s="7" t="str" cm="1">
        <f t="array" ref="L51">IFERROR(IF(G51=G50,L50,CONCATENATE(INDEX(A51:$G$100,SMALL(IF(G51:$G$100=G51,ROW(G51:$G$100)-ROW(G51)+1,ROW($G$100)+1),4),1)," ",INDEX(A51:$G$100,SMALL(IF(G51:$G$100=G51,ROW(G51:$G$100)-ROW(G51)+1,ROW($G$100)+1),4),2))),"")</f>
        <v xml:space="preserve"> </v>
      </c>
      <c r="M51" s="7" t="str" cm="1">
        <f t="array" ref="M51">IFERROR(IF(G51=G50,M50,CONCATENATE(INDEX(A51:$G$100,SMALL(IF(G51:$G$100=G51,ROW(G51:$G$100)-ROW(G51)+1,ROW($G$100)+1),5),1)," ",INDEX(A51:$G$100,SMALL(IF(G51:$G$100=G51,ROW(G51:$G$100)-ROW(G51)+1,ROW($G$100)+1),5),2))),"")</f>
        <v xml:space="preserve"> </v>
      </c>
      <c r="N51" s="7" t="str" cm="1">
        <f t="array" ref="N51">IFERROR(IF(G51=G50,N50,CONCATENATE(INDEX(A51:$G$100,SMALL(IF(G51:$G$100=G51,ROW(G51:$G$100)-ROW(G51)+1,ROW($G$100)+1),6),1)," ",INDEX(A51:$G$100,SMALL(IF(G51:$G$100=G51,ROW(G51:$G$100)-ROW(G51)+1,ROW($G$100)+1),6),2))),"")</f>
        <v xml:space="preserve"> </v>
      </c>
      <c r="O51" s="7" t="str" cm="1">
        <f t="array" ref="O51">IFERROR(IF(G51=G50,O50,CONCATENATE(INDEX(A51:$G$100,SMALL(IF(G51:$G$100=G51,ROW(G51:$G$100)-ROW(G51)+1,ROW($G$100)+1),7),1)," ",INDEX(A51:$G$100,SMALL(IF(G51:$G$100=G51,ROW(G51:$G$100)-ROW(G51)+1,ROW($G$100)+1),7),2))),"")</f>
        <v xml:space="preserve"> </v>
      </c>
      <c r="P51" s="7" t="str" cm="1">
        <f t="array" ref="P51">IFERROR(IF(G51=G50,P50,CONCATENATE(INDEX(A51:$G$100,SMALL(IF(G51:$G$100=G51,ROW(G51:$G$100)-ROW(G51)+1,ROW($G$100)+1),8),1)," ",INDEX(A51:$G$100,SMALL(IF(G51:$G$100=G51,ROW(G51:$G$100)-ROW(G51)+1,ROW($G$100)+1),8),2))),"")</f>
        <v xml:space="preserve"> </v>
      </c>
      <c r="Q51" s="7" t="str" cm="1">
        <f t="array" ref="Q51">IFERROR(IF(G51=G50,Q50,CONCATENATE(INDEX(A51:$G$100,SMALL(IF(G51:$G$100=G51,ROW(G51:$G$100)-ROW(G51)+1,ROW($G$100)+1),9),1)," ",INDEX(A51:$G$100,SMALL(IF(G51:$G$100=G51,ROW(G51:$G$100)-ROW(G51)+1,ROW($G$100)+1),9),2))),"")</f>
        <v xml:space="preserve"> </v>
      </c>
      <c r="R51" s="7" t="str" cm="1">
        <f t="array" ref="R51">IFERROR(IF(G51=G50,R50,CONCATENATE(INDEX(A51:$G$100,SMALL(IF(G51:$G$100=G51,ROW(G51:$G$100)-ROW(G51)+1,ROW($G$100)+1),10),1)," ",INDEX(A51:$G$100,SMALL(IF(G51:$G$100=G51,ROW(G51:$G$100)-ROW(G51)+1,ROW($G$100)+1),10),2))),"")</f>
        <v xml:space="preserve"> </v>
      </c>
    </row>
    <row r="52" spans="1:18" x14ac:dyDescent="0.2">
      <c r="A52" s="3"/>
      <c r="B52" s="3"/>
      <c r="C52" s="9"/>
      <c r="D52" s="2" t="str">
        <f t="shared" si="4"/>
        <v/>
      </c>
      <c r="E52" s="2" t="str">
        <f t="shared" si="5"/>
        <v/>
      </c>
      <c r="F52" s="2" t="str">
        <f t="shared" si="6"/>
        <v/>
      </c>
      <c r="G52" s="4"/>
      <c r="H52" s="2" t="str">
        <f t="shared" si="0"/>
        <v/>
      </c>
      <c r="I52" s="1" t="str" cm="1">
        <f t="array" ref="I52">IFERROR(IF(G52=G51,I51,CONCATENATE(INDEX(A52:$G$100,SMALL(IF(G52:$G$100=G52,ROW(G52:$G$100)-ROW(G52)+1,ROW($G$100)+1),1),1)," ",INDEX(A52:$G$100,SMALL(IF(G52:$G$100=G52,ROW(G52:$G$100)-ROW(G52)+1,ROW($G$100)+1),1),2))),"")</f>
        <v xml:space="preserve"> </v>
      </c>
      <c r="J52" s="1" t="str" cm="1">
        <f t="array" ref="J52">IFERROR(IF(G52=G51,J51,CONCATENATE(INDEX(A52:$G$100,SMALL(IF(G52:$G$100=G52,ROW(G52:$G$100)-ROW(G52)+1,ROW($G$100)+1),2),1)," ",INDEX(A52:$G$100,SMALL(IF(G52:$G$100=G52,ROW(G52:$G$100)-ROW(G52)+1,ROW($G$100)+1),2),2))),"")</f>
        <v xml:space="preserve"> </v>
      </c>
      <c r="K52" s="1" t="str" cm="1">
        <f t="array" ref="K52">IFERROR(IF(G52=G51,K51,CONCATENATE(INDEX(A52:$G$100,SMALL(IF(G52:$G$100=G52,ROW(G52:$G$100)-ROW(G52)+1,ROW($G$100)+1),3),1)," ",INDEX(A52:$G$100,SMALL(IF(G52:$G$100=G52,ROW(G52:$G$100)-ROW(G52)+1,ROW($G$100)+1),3),2))),"")</f>
        <v xml:space="preserve"> </v>
      </c>
      <c r="L52" s="1" t="str" cm="1">
        <f t="array" ref="L52">IFERROR(IF(G52=G51,L51,CONCATENATE(INDEX(A52:$G$100,SMALL(IF(G52:$G$100=G52,ROW(G52:$G$100)-ROW(G52)+1,ROW($G$100)+1),4),1)," ",INDEX(A52:$G$100,SMALL(IF(G52:$G$100=G52,ROW(G52:$G$100)-ROW(G52)+1,ROW($G$100)+1),4),2))),"")</f>
        <v xml:space="preserve"> </v>
      </c>
      <c r="M52" s="1" t="str" cm="1">
        <f t="array" ref="M52">IFERROR(IF(G52=G51,M51,CONCATENATE(INDEX(A52:$G$100,SMALL(IF(G52:$G$100=G52,ROW(G52:$G$100)-ROW(G52)+1,ROW($G$100)+1),5),1)," ",INDEX(A52:$G$100,SMALL(IF(G52:$G$100=G52,ROW(G52:$G$100)-ROW(G52)+1,ROW($G$100)+1),5),2))),"")</f>
        <v xml:space="preserve"> </v>
      </c>
      <c r="N52" s="1" t="str" cm="1">
        <f t="array" ref="N52">IFERROR(IF(G52=G51,N51,CONCATENATE(INDEX(A52:$G$100,SMALL(IF(G52:$G$100=G52,ROW(G52:$G$100)-ROW(G52)+1,ROW($G$100)+1),6),1)," ",INDEX(A52:$G$100,SMALL(IF(G52:$G$100=G52,ROW(G52:$G$100)-ROW(G52)+1,ROW($G$100)+1),6),2))),"")</f>
        <v xml:space="preserve"> </v>
      </c>
      <c r="O52" s="1" t="str" cm="1">
        <f t="array" ref="O52">IFERROR(IF(G52=G51,O51,CONCATENATE(INDEX(A52:$G$100,SMALL(IF(G52:$G$100=G52,ROW(G52:$G$100)-ROW(G52)+1,ROW($G$100)+1),7),1)," ",INDEX(A52:$G$100,SMALL(IF(G52:$G$100=G52,ROW(G52:$G$100)-ROW(G52)+1,ROW($G$100)+1),7),2))),"")</f>
        <v xml:space="preserve"> </v>
      </c>
      <c r="P52" s="1" t="str" cm="1">
        <f t="array" ref="P52">IFERROR(IF(G52=G51,P51,CONCATENATE(INDEX(A52:$G$100,SMALL(IF(G52:$G$100=G52,ROW(G52:$G$100)-ROW(G52)+1,ROW($G$100)+1),8),1)," ",INDEX(A52:$G$100,SMALL(IF(G52:$G$100=G52,ROW(G52:$G$100)-ROW(G52)+1,ROW($G$100)+1),8),2))),"")</f>
        <v xml:space="preserve"> </v>
      </c>
      <c r="Q52" s="1" t="str" cm="1">
        <f t="array" ref="Q52">IFERROR(IF(G52=G51,Q51,CONCATENATE(INDEX(A52:$G$100,SMALL(IF(G52:$G$100=G52,ROW(G52:$G$100)-ROW(G52)+1,ROW($G$100)+1),9),1)," ",INDEX(A52:$G$100,SMALL(IF(G52:$G$100=G52,ROW(G52:$G$100)-ROW(G52)+1,ROW($G$100)+1),9),2))),"")</f>
        <v xml:space="preserve"> </v>
      </c>
      <c r="R52" s="1" t="str" cm="1">
        <f t="array" ref="R52">IFERROR(IF(G52=G51,R51,CONCATENATE(INDEX(A52:$G$100,SMALL(IF(G52:$G$100=G52,ROW(G52:$G$100)-ROW(G52)+1,ROW($G$100)+1),10),1)," ",INDEX(A52:$G$100,SMALL(IF(G52:$G$100=G52,ROW(G52:$G$100)-ROW(G52)+1,ROW($G$100)+1),10),2))),"")</f>
        <v xml:space="preserve"> </v>
      </c>
    </row>
    <row r="53" spans="1:18" s="7" customFormat="1" x14ac:dyDescent="0.2">
      <c r="A53" s="10"/>
      <c r="B53" s="10"/>
      <c r="C53" s="11"/>
      <c r="D53" s="8" t="str">
        <f t="shared" si="4"/>
        <v/>
      </c>
      <c r="E53" s="8" t="str">
        <f t="shared" si="5"/>
        <v/>
      </c>
      <c r="F53" s="8" t="str">
        <f t="shared" si="6"/>
        <v/>
      </c>
      <c r="G53" s="12"/>
      <c r="H53" s="8" t="str">
        <f t="shared" si="0"/>
        <v/>
      </c>
      <c r="I53" s="7" t="str" cm="1">
        <f t="array" ref="I53">IFERROR(IF(G53=G52,I52,CONCATENATE(INDEX(A53:$G$100,SMALL(IF(G53:$G$100=G53,ROW(G53:$G$100)-ROW(G53)+1,ROW($G$100)+1),1),1)," ",INDEX(A53:$G$100,SMALL(IF(G53:$G$100=G53,ROW(G53:$G$100)-ROW(G53)+1,ROW($G$100)+1),1),2))),"")</f>
        <v xml:space="preserve"> </v>
      </c>
      <c r="J53" s="7" t="str" cm="1">
        <f t="array" ref="J53">IFERROR(IF(G53=G52,J52,CONCATENATE(INDEX(A53:$G$100,SMALL(IF(G53:$G$100=G53,ROW(G53:$G$100)-ROW(G53)+1,ROW($G$100)+1),2),1)," ",INDEX(A53:$G$100,SMALL(IF(G53:$G$100=G53,ROW(G53:$G$100)-ROW(G53)+1,ROW($G$100)+1),2),2))),"")</f>
        <v xml:space="preserve"> </v>
      </c>
      <c r="K53" s="7" t="str" cm="1">
        <f t="array" ref="K53">IFERROR(IF(G53=G52,K52,CONCATENATE(INDEX(A53:$G$100,SMALL(IF(G53:$G$100=G53,ROW(G53:$G$100)-ROW(G53)+1,ROW($G$100)+1),3),1)," ",INDEX(A53:$G$100,SMALL(IF(G53:$G$100=G53,ROW(G53:$G$100)-ROW(G53)+1,ROW($G$100)+1),3),2))),"")</f>
        <v xml:space="preserve"> </v>
      </c>
      <c r="L53" s="7" t="str" cm="1">
        <f t="array" ref="L53">IFERROR(IF(G53=G52,L52,CONCATENATE(INDEX(A53:$G$100,SMALL(IF(G53:$G$100=G53,ROW(G53:$G$100)-ROW(G53)+1,ROW($G$100)+1),4),1)," ",INDEX(A53:$G$100,SMALL(IF(G53:$G$100=G53,ROW(G53:$G$100)-ROW(G53)+1,ROW($G$100)+1),4),2))),"")</f>
        <v xml:space="preserve"> </v>
      </c>
      <c r="M53" s="7" t="str" cm="1">
        <f t="array" ref="M53">IFERROR(IF(G53=G52,M52,CONCATENATE(INDEX(A53:$G$100,SMALL(IF(G53:$G$100=G53,ROW(G53:$G$100)-ROW(G53)+1,ROW($G$100)+1),5),1)," ",INDEX(A53:$G$100,SMALL(IF(G53:$G$100=G53,ROW(G53:$G$100)-ROW(G53)+1,ROW($G$100)+1),5),2))),"")</f>
        <v xml:space="preserve"> </v>
      </c>
      <c r="N53" s="7" t="str" cm="1">
        <f t="array" ref="N53">IFERROR(IF(G53=G52,N52,CONCATENATE(INDEX(A53:$G$100,SMALL(IF(G53:$G$100=G53,ROW(G53:$G$100)-ROW(G53)+1,ROW($G$100)+1),6),1)," ",INDEX(A53:$G$100,SMALL(IF(G53:$G$100=G53,ROW(G53:$G$100)-ROW(G53)+1,ROW($G$100)+1),6),2))),"")</f>
        <v xml:space="preserve"> </v>
      </c>
      <c r="O53" s="7" t="str" cm="1">
        <f t="array" ref="O53">IFERROR(IF(G53=G52,O52,CONCATENATE(INDEX(A53:$G$100,SMALL(IF(G53:$G$100=G53,ROW(G53:$G$100)-ROW(G53)+1,ROW($G$100)+1),7),1)," ",INDEX(A53:$G$100,SMALL(IF(G53:$G$100=G53,ROW(G53:$G$100)-ROW(G53)+1,ROW($G$100)+1),7),2))),"")</f>
        <v xml:space="preserve"> </v>
      </c>
      <c r="P53" s="7" t="str" cm="1">
        <f t="array" ref="P53">IFERROR(IF(G53=G52,P52,CONCATENATE(INDEX(A53:$G$100,SMALL(IF(G53:$G$100=G53,ROW(G53:$G$100)-ROW(G53)+1,ROW($G$100)+1),8),1)," ",INDEX(A53:$G$100,SMALL(IF(G53:$G$100=G53,ROW(G53:$G$100)-ROW(G53)+1,ROW($G$100)+1),8),2))),"")</f>
        <v xml:space="preserve"> </v>
      </c>
      <c r="Q53" s="7" t="str" cm="1">
        <f t="array" ref="Q53">IFERROR(IF(G53=G52,Q52,CONCATENATE(INDEX(A53:$G$100,SMALL(IF(G53:$G$100=G53,ROW(G53:$G$100)-ROW(G53)+1,ROW($G$100)+1),9),1)," ",INDEX(A53:$G$100,SMALL(IF(G53:$G$100=G53,ROW(G53:$G$100)-ROW(G53)+1,ROW($G$100)+1),9),2))),"")</f>
        <v xml:space="preserve"> </v>
      </c>
      <c r="R53" s="7" t="str" cm="1">
        <f t="array" ref="R53">IFERROR(IF(G53=G52,R52,CONCATENATE(INDEX(A53:$G$100,SMALL(IF(G53:$G$100=G53,ROW(G53:$G$100)-ROW(G53)+1,ROW($G$100)+1),10),1)," ",INDEX(A53:$G$100,SMALL(IF(G53:$G$100=G53,ROW(G53:$G$100)-ROW(G53)+1,ROW($G$100)+1),10),2))),"")</f>
        <v xml:space="preserve"> </v>
      </c>
    </row>
    <row r="54" spans="1:18" x14ac:dyDescent="0.2">
      <c r="A54" s="3"/>
      <c r="B54" s="3"/>
      <c r="C54" s="9"/>
      <c r="D54" s="2" t="str">
        <f t="shared" si="4"/>
        <v/>
      </c>
      <c r="E54" s="2" t="str">
        <f t="shared" si="5"/>
        <v/>
      </c>
      <c r="F54" s="2" t="str">
        <f t="shared" si="6"/>
        <v/>
      </c>
      <c r="G54" s="4"/>
      <c r="H54" s="2" t="str">
        <f t="shared" si="0"/>
        <v/>
      </c>
      <c r="I54" s="1" t="str" cm="1">
        <f t="array" ref="I54">IFERROR(IF(G54=G53,I53,CONCATENATE(INDEX(A54:$G$100,SMALL(IF(G54:$G$100=G54,ROW(G54:$G$100)-ROW(G54)+1,ROW($G$100)+1),1),1)," ",INDEX(A54:$G$100,SMALL(IF(G54:$G$100=G54,ROW(G54:$G$100)-ROW(G54)+1,ROW($G$100)+1),1),2))),"")</f>
        <v xml:space="preserve"> </v>
      </c>
      <c r="J54" s="1" t="str" cm="1">
        <f t="array" ref="J54">IFERROR(IF(G54=G53,J53,CONCATENATE(INDEX(A54:$G$100,SMALL(IF(G54:$G$100=G54,ROW(G54:$G$100)-ROW(G54)+1,ROW($G$100)+1),2),1)," ",INDEX(A54:$G$100,SMALL(IF(G54:$G$100=G54,ROW(G54:$G$100)-ROW(G54)+1,ROW($G$100)+1),2),2))),"")</f>
        <v xml:space="preserve"> </v>
      </c>
      <c r="K54" s="1" t="str" cm="1">
        <f t="array" ref="K54">IFERROR(IF(G54=G53,K53,CONCATENATE(INDEX(A54:$G$100,SMALL(IF(G54:$G$100=G54,ROW(G54:$G$100)-ROW(G54)+1,ROW($G$100)+1),3),1)," ",INDEX(A54:$G$100,SMALL(IF(G54:$G$100=G54,ROW(G54:$G$100)-ROW(G54)+1,ROW($G$100)+1),3),2))),"")</f>
        <v xml:space="preserve"> </v>
      </c>
      <c r="L54" s="1" t="str" cm="1">
        <f t="array" ref="L54">IFERROR(IF(G54=G53,L53,CONCATENATE(INDEX(A54:$G$100,SMALL(IF(G54:$G$100=G54,ROW(G54:$G$100)-ROW(G54)+1,ROW($G$100)+1),4),1)," ",INDEX(A54:$G$100,SMALL(IF(G54:$G$100=G54,ROW(G54:$G$100)-ROW(G54)+1,ROW($G$100)+1),4),2))),"")</f>
        <v xml:space="preserve"> </v>
      </c>
      <c r="M54" s="1" t="str" cm="1">
        <f t="array" ref="M54">IFERROR(IF(G54=G53,M53,CONCATENATE(INDEX(A54:$G$100,SMALL(IF(G54:$G$100=G54,ROW(G54:$G$100)-ROW(G54)+1,ROW($G$100)+1),5),1)," ",INDEX(A54:$G$100,SMALL(IF(G54:$G$100=G54,ROW(G54:$G$100)-ROW(G54)+1,ROW($G$100)+1),5),2))),"")</f>
        <v xml:space="preserve"> </v>
      </c>
      <c r="N54" s="1" t="str" cm="1">
        <f t="array" ref="N54">IFERROR(IF(G54=G53,N53,CONCATENATE(INDEX(A54:$G$100,SMALL(IF(G54:$G$100=G54,ROW(G54:$G$100)-ROW(G54)+1,ROW($G$100)+1),6),1)," ",INDEX(A54:$G$100,SMALL(IF(G54:$G$100=G54,ROW(G54:$G$100)-ROW(G54)+1,ROW($G$100)+1),6),2))),"")</f>
        <v xml:space="preserve"> </v>
      </c>
      <c r="O54" s="1" t="str" cm="1">
        <f t="array" ref="O54">IFERROR(IF(G54=G53,O53,CONCATENATE(INDEX(A54:$G$100,SMALL(IF(G54:$G$100=G54,ROW(G54:$G$100)-ROW(G54)+1,ROW($G$100)+1),7),1)," ",INDEX(A54:$G$100,SMALL(IF(G54:$G$100=G54,ROW(G54:$G$100)-ROW(G54)+1,ROW($G$100)+1),7),2))),"")</f>
        <v xml:space="preserve"> </v>
      </c>
      <c r="P54" s="1" t="str" cm="1">
        <f t="array" ref="P54">IFERROR(IF(G54=G53,P53,CONCATENATE(INDEX(A54:$G$100,SMALL(IF(G54:$G$100=G54,ROW(G54:$G$100)-ROW(G54)+1,ROW($G$100)+1),8),1)," ",INDEX(A54:$G$100,SMALL(IF(G54:$G$100=G54,ROW(G54:$G$100)-ROW(G54)+1,ROW($G$100)+1),8),2))),"")</f>
        <v xml:space="preserve"> </v>
      </c>
      <c r="Q54" s="1" t="str" cm="1">
        <f t="array" ref="Q54">IFERROR(IF(G54=G53,Q53,CONCATENATE(INDEX(A54:$G$100,SMALL(IF(G54:$G$100=G54,ROW(G54:$G$100)-ROW(G54)+1,ROW($G$100)+1),9),1)," ",INDEX(A54:$G$100,SMALL(IF(G54:$G$100=G54,ROW(G54:$G$100)-ROW(G54)+1,ROW($G$100)+1),9),2))),"")</f>
        <v xml:space="preserve"> </v>
      </c>
      <c r="R54" s="1" t="str" cm="1">
        <f t="array" ref="R54">IFERROR(IF(G54=G53,R53,CONCATENATE(INDEX(A54:$G$100,SMALL(IF(G54:$G$100=G54,ROW(G54:$G$100)-ROW(G54)+1,ROW($G$100)+1),10),1)," ",INDEX(A54:$G$100,SMALL(IF(G54:$G$100=G54,ROW(G54:$G$100)-ROW(G54)+1,ROW($G$100)+1),10),2))),"")</f>
        <v xml:space="preserve"> </v>
      </c>
    </row>
    <row r="55" spans="1:18" s="7" customFormat="1" x14ac:dyDescent="0.2">
      <c r="A55" s="10"/>
      <c r="B55" s="10"/>
      <c r="C55" s="11"/>
      <c r="D55" s="8" t="str">
        <f t="shared" si="4"/>
        <v/>
      </c>
      <c r="E55" s="8" t="str">
        <f t="shared" si="5"/>
        <v/>
      </c>
      <c r="F55" s="8" t="str">
        <f t="shared" si="6"/>
        <v/>
      </c>
      <c r="G55" s="12"/>
      <c r="H55" s="8" t="str">
        <f t="shared" si="0"/>
        <v/>
      </c>
      <c r="I55" s="7" t="str" cm="1">
        <f t="array" ref="I55">IFERROR(IF(G55=G54,I54,CONCATENATE(INDEX(A55:$G$100,SMALL(IF(G55:$G$100=G55,ROW(G55:$G$100)-ROW(G55)+1,ROW($G$100)+1),1),1)," ",INDEX(A55:$G$100,SMALL(IF(G55:$G$100=G55,ROW(G55:$G$100)-ROW(G55)+1,ROW($G$100)+1),1),2))),"")</f>
        <v xml:space="preserve"> </v>
      </c>
      <c r="J55" s="7" t="str" cm="1">
        <f t="array" ref="J55">IFERROR(IF(G55=G54,J54,CONCATENATE(INDEX(A55:$G$100,SMALL(IF(G55:$G$100=G55,ROW(G55:$G$100)-ROW(G55)+1,ROW($G$100)+1),2),1)," ",INDEX(A55:$G$100,SMALL(IF(G55:$G$100=G55,ROW(G55:$G$100)-ROW(G55)+1,ROW($G$100)+1),2),2))),"")</f>
        <v xml:space="preserve"> </v>
      </c>
      <c r="K55" s="7" t="str" cm="1">
        <f t="array" ref="K55">IFERROR(IF(G55=G54,K54,CONCATENATE(INDEX(A55:$G$100,SMALL(IF(G55:$G$100=G55,ROW(G55:$G$100)-ROW(G55)+1,ROW($G$100)+1),3),1)," ",INDEX(A55:$G$100,SMALL(IF(G55:$G$100=G55,ROW(G55:$G$100)-ROW(G55)+1,ROW($G$100)+1),3),2))),"")</f>
        <v xml:space="preserve"> </v>
      </c>
      <c r="L55" s="7" t="str" cm="1">
        <f t="array" ref="L55">IFERROR(IF(G55=G54,L54,CONCATENATE(INDEX(A55:$G$100,SMALL(IF(G55:$G$100=G55,ROW(G55:$G$100)-ROW(G55)+1,ROW($G$100)+1),4),1)," ",INDEX(A55:$G$100,SMALL(IF(G55:$G$100=G55,ROW(G55:$G$100)-ROW(G55)+1,ROW($G$100)+1),4),2))),"")</f>
        <v xml:space="preserve"> </v>
      </c>
      <c r="M55" s="7" t="str" cm="1">
        <f t="array" ref="M55">IFERROR(IF(G55=G54,M54,CONCATENATE(INDEX(A55:$G$100,SMALL(IF(G55:$G$100=G55,ROW(G55:$G$100)-ROW(G55)+1,ROW($G$100)+1),5),1)," ",INDEX(A55:$G$100,SMALL(IF(G55:$G$100=G55,ROW(G55:$G$100)-ROW(G55)+1,ROW($G$100)+1),5),2))),"")</f>
        <v xml:space="preserve"> </v>
      </c>
      <c r="N55" s="7" t="str" cm="1">
        <f t="array" ref="N55">IFERROR(IF(G55=G54,N54,CONCATENATE(INDEX(A55:$G$100,SMALL(IF(G55:$G$100=G55,ROW(G55:$G$100)-ROW(G55)+1,ROW($G$100)+1),6),1)," ",INDEX(A55:$G$100,SMALL(IF(G55:$G$100=G55,ROW(G55:$G$100)-ROW(G55)+1,ROW($G$100)+1),6),2))),"")</f>
        <v xml:space="preserve"> </v>
      </c>
      <c r="O55" s="7" t="str" cm="1">
        <f t="array" ref="O55">IFERROR(IF(G55=G54,O54,CONCATENATE(INDEX(A55:$G$100,SMALL(IF(G55:$G$100=G55,ROW(G55:$G$100)-ROW(G55)+1,ROW($G$100)+1),7),1)," ",INDEX(A55:$G$100,SMALL(IF(G55:$G$100=G55,ROW(G55:$G$100)-ROW(G55)+1,ROW($G$100)+1),7),2))),"")</f>
        <v xml:space="preserve"> </v>
      </c>
      <c r="P55" s="7" t="str" cm="1">
        <f t="array" ref="P55">IFERROR(IF(G55=G54,P54,CONCATENATE(INDEX(A55:$G$100,SMALL(IF(G55:$G$100=G55,ROW(G55:$G$100)-ROW(G55)+1,ROW($G$100)+1),8),1)," ",INDEX(A55:$G$100,SMALL(IF(G55:$G$100=G55,ROW(G55:$G$100)-ROW(G55)+1,ROW($G$100)+1),8),2))),"")</f>
        <v xml:space="preserve"> </v>
      </c>
      <c r="Q55" s="7" t="str" cm="1">
        <f t="array" ref="Q55">IFERROR(IF(G55=G54,Q54,CONCATENATE(INDEX(A55:$G$100,SMALL(IF(G55:$G$100=G55,ROW(G55:$G$100)-ROW(G55)+1,ROW($G$100)+1),9),1)," ",INDEX(A55:$G$100,SMALL(IF(G55:$G$100=G55,ROW(G55:$G$100)-ROW(G55)+1,ROW($G$100)+1),9),2))),"")</f>
        <v xml:space="preserve"> </v>
      </c>
      <c r="R55" s="7" t="str" cm="1">
        <f t="array" ref="R55">IFERROR(IF(G55=G54,R54,CONCATENATE(INDEX(A55:$G$100,SMALL(IF(G55:$G$100=G55,ROW(G55:$G$100)-ROW(G55)+1,ROW($G$100)+1),10),1)," ",INDEX(A55:$G$100,SMALL(IF(G55:$G$100=G55,ROW(G55:$G$100)-ROW(G55)+1,ROW($G$100)+1),10),2))),"")</f>
        <v xml:space="preserve"> </v>
      </c>
    </row>
    <row r="56" spans="1:18" x14ac:dyDescent="0.2">
      <c r="A56" s="3"/>
      <c r="B56" s="3"/>
      <c r="C56" s="9"/>
      <c r="D56" s="2" t="str">
        <f t="shared" si="4"/>
        <v/>
      </c>
      <c r="E56" s="2" t="str">
        <f t="shared" si="5"/>
        <v/>
      </c>
      <c r="F56" s="2" t="str">
        <f t="shared" si="6"/>
        <v/>
      </c>
      <c r="G56" s="4"/>
      <c r="H56" s="2" t="str">
        <f t="shared" si="0"/>
        <v/>
      </c>
      <c r="I56" s="1" t="str" cm="1">
        <f t="array" ref="I56">IFERROR(IF(G56=G55,I55,CONCATENATE(INDEX(A56:$G$100,SMALL(IF(G56:$G$100=G56,ROW(G56:$G$100)-ROW(G56)+1,ROW($G$100)+1),1),1)," ",INDEX(A56:$G$100,SMALL(IF(G56:$G$100=G56,ROW(G56:$G$100)-ROW(G56)+1,ROW($G$100)+1),1),2))),"")</f>
        <v xml:space="preserve"> </v>
      </c>
      <c r="J56" s="1" t="str" cm="1">
        <f t="array" ref="J56">IFERROR(IF(G56=G55,J55,CONCATENATE(INDEX(A56:$G$100,SMALL(IF(G56:$G$100=G56,ROW(G56:$G$100)-ROW(G56)+1,ROW($G$100)+1),2),1)," ",INDEX(A56:$G$100,SMALL(IF(G56:$G$100=G56,ROW(G56:$G$100)-ROW(G56)+1,ROW($G$100)+1),2),2))),"")</f>
        <v xml:space="preserve"> </v>
      </c>
      <c r="K56" s="1" t="str" cm="1">
        <f t="array" ref="K56">IFERROR(IF(G56=G55,K55,CONCATENATE(INDEX(A56:$G$100,SMALL(IF(G56:$G$100=G56,ROW(G56:$G$100)-ROW(G56)+1,ROW($G$100)+1),3),1)," ",INDEX(A56:$G$100,SMALL(IF(G56:$G$100=G56,ROW(G56:$G$100)-ROW(G56)+1,ROW($G$100)+1),3),2))),"")</f>
        <v xml:space="preserve"> </v>
      </c>
      <c r="L56" s="1" t="str" cm="1">
        <f t="array" ref="L56">IFERROR(IF(G56=G55,L55,CONCATENATE(INDEX(A56:$G$100,SMALL(IF(G56:$G$100=G56,ROW(G56:$G$100)-ROW(G56)+1,ROW($G$100)+1),4),1)," ",INDEX(A56:$G$100,SMALL(IF(G56:$G$100=G56,ROW(G56:$G$100)-ROW(G56)+1,ROW($G$100)+1),4),2))),"")</f>
        <v xml:space="preserve"> </v>
      </c>
      <c r="M56" s="1" t="str" cm="1">
        <f t="array" ref="M56">IFERROR(IF(G56=G55,M55,CONCATENATE(INDEX(A56:$G$100,SMALL(IF(G56:$G$100=G56,ROW(G56:$G$100)-ROW(G56)+1,ROW($G$100)+1),5),1)," ",INDEX(A56:$G$100,SMALL(IF(G56:$G$100=G56,ROW(G56:$G$100)-ROW(G56)+1,ROW($G$100)+1),5),2))),"")</f>
        <v xml:space="preserve"> </v>
      </c>
      <c r="N56" s="1" t="str" cm="1">
        <f t="array" ref="N56">IFERROR(IF(G56=G55,N55,CONCATENATE(INDEX(A56:$G$100,SMALL(IF(G56:$G$100=G56,ROW(G56:$G$100)-ROW(G56)+1,ROW($G$100)+1),6),1)," ",INDEX(A56:$G$100,SMALL(IF(G56:$G$100=G56,ROW(G56:$G$100)-ROW(G56)+1,ROW($G$100)+1),6),2))),"")</f>
        <v xml:space="preserve"> </v>
      </c>
      <c r="O56" s="1" t="str" cm="1">
        <f t="array" ref="O56">IFERROR(IF(G56=G55,O55,CONCATENATE(INDEX(A56:$G$100,SMALL(IF(G56:$G$100=G56,ROW(G56:$G$100)-ROW(G56)+1,ROW($G$100)+1),7),1)," ",INDEX(A56:$G$100,SMALL(IF(G56:$G$100=G56,ROW(G56:$G$100)-ROW(G56)+1,ROW($G$100)+1),7),2))),"")</f>
        <v xml:space="preserve"> </v>
      </c>
      <c r="P56" s="1" t="str" cm="1">
        <f t="array" ref="P56">IFERROR(IF(G56=G55,P55,CONCATENATE(INDEX(A56:$G$100,SMALL(IF(G56:$G$100=G56,ROW(G56:$G$100)-ROW(G56)+1,ROW($G$100)+1),8),1)," ",INDEX(A56:$G$100,SMALL(IF(G56:$G$100=G56,ROW(G56:$G$100)-ROW(G56)+1,ROW($G$100)+1),8),2))),"")</f>
        <v xml:space="preserve"> </v>
      </c>
      <c r="Q56" s="1" t="str" cm="1">
        <f t="array" ref="Q56">IFERROR(IF(G56=G55,Q55,CONCATENATE(INDEX(A56:$G$100,SMALL(IF(G56:$G$100=G56,ROW(G56:$G$100)-ROW(G56)+1,ROW($G$100)+1),9),1)," ",INDEX(A56:$G$100,SMALL(IF(G56:$G$100=G56,ROW(G56:$G$100)-ROW(G56)+1,ROW($G$100)+1),9),2))),"")</f>
        <v xml:space="preserve"> </v>
      </c>
      <c r="R56" s="1" t="str" cm="1">
        <f t="array" ref="R56">IFERROR(IF(G56=G55,R55,CONCATENATE(INDEX(A56:$G$100,SMALL(IF(G56:$G$100=G56,ROW(G56:$G$100)-ROW(G56)+1,ROW($G$100)+1),10),1)," ",INDEX(A56:$G$100,SMALL(IF(G56:$G$100=G56,ROW(G56:$G$100)-ROW(G56)+1,ROW($G$100)+1),10),2))),"")</f>
        <v xml:space="preserve"> </v>
      </c>
    </row>
    <row r="57" spans="1:18" s="7" customFormat="1" x14ac:dyDescent="0.2">
      <c r="A57" s="10"/>
      <c r="B57" s="10"/>
      <c r="C57" s="11"/>
      <c r="D57" s="8" t="str">
        <f t="shared" si="4"/>
        <v/>
      </c>
      <c r="E57" s="8" t="str">
        <f t="shared" si="5"/>
        <v/>
      </c>
      <c r="F57" s="8" t="str">
        <f t="shared" si="6"/>
        <v/>
      </c>
      <c r="G57" s="12"/>
      <c r="H57" s="8" t="str">
        <f t="shared" si="0"/>
        <v/>
      </c>
      <c r="I57" s="7" t="str" cm="1">
        <f t="array" ref="I57">IFERROR(IF(G57=G56,I56,CONCATENATE(INDEX(A57:$G$100,SMALL(IF(G57:$G$100=G57,ROW(G57:$G$100)-ROW(G57)+1,ROW($G$100)+1),1),1)," ",INDEX(A57:$G$100,SMALL(IF(G57:$G$100=G57,ROW(G57:$G$100)-ROW(G57)+1,ROW($G$100)+1),1),2))),"")</f>
        <v xml:space="preserve"> </v>
      </c>
      <c r="J57" s="7" t="str" cm="1">
        <f t="array" ref="J57">IFERROR(IF(G57=G56,J56,CONCATENATE(INDEX(A57:$G$100,SMALL(IF(G57:$G$100=G57,ROW(G57:$G$100)-ROW(G57)+1,ROW($G$100)+1),2),1)," ",INDEX(A57:$G$100,SMALL(IF(G57:$G$100=G57,ROW(G57:$G$100)-ROW(G57)+1,ROW($G$100)+1),2),2))),"")</f>
        <v xml:space="preserve"> </v>
      </c>
      <c r="K57" s="7" t="str" cm="1">
        <f t="array" ref="K57">IFERROR(IF(G57=G56,K56,CONCATENATE(INDEX(A57:$G$100,SMALL(IF(G57:$G$100=G57,ROW(G57:$G$100)-ROW(G57)+1,ROW($G$100)+1),3),1)," ",INDEX(A57:$G$100,SMALL(IF(G57:$G$100=G57,ROW(G57:$G$100)-ROW(G57)+1,ROW($G$100)+1),3),2))),"")</f>
        <v xml:space="preserve"> </v>
      </c>
      <c r="L57" s="7" t="str" cm="1">
        <f t="array" ref="L57">IFERROR(IF(G57=G56,L56,CONCATENATE(INDEX(A57:$G$100,SMALL(IF(G57:$G$100=G57,ROW(G57:$G$100)-ROW(G57)+1,ROW($G$100)+1),4),1)," ",INDEX(A57:$G$100,SMALL(IF(G57:$G$100=G57,ROW(G57:$G$100)-ROW(G57)+1,ROW($G$100)+1),4),2))),"")</f>
        <v xml:space="preserve"> </v>
      </c>
      <c r="M57" s="7" t="str" cm="1">
        <f t="array" ref="M57">IFERROR(IF(G57=G56,M56,CONCATENATE(INDEX(A57:$G$100,SMALL(IF(G57:$G$100=G57,ROW(G57:$G$100)-ROW(G57)+1,ROW($G$100)+1),5),1)," ",INDEX(A57:$G$100,SMALL(IF(G57:$G$100=G57,ROW(G57:$G$100)-ROW(G57)+1,ROW($G$100)+1),5),2))),"")</f>
        <v xml:space="preserve"> </v>
      </c>
      <c r="N57" s="7" t="str" cm="1">
        <f t="array" ref="N57">IFERROR(IF(G57=G56,N56,CONCATENATE(INDEX(A57:$G$100,SMALL(IF(G57:$G$100=G57,ROW(G57:$G$100)-ROW(G57)+1,ROW($G$100)+1),6),1)," ",INDEX(A57:$G$100,SMALL(IF(G57:$G$100=G57,ROW(G57:$G$100)-ROW(G57)+1,ROW($G$100)+1),6),2))),"")</f>
        <v xml:space="preserve"> </v>
      </c>
      <c r="O57" s="7" t="str" cm="1">
        <f t="array" ref="O57">IFERROR(IF(G57=G56,O56,CONCATENATE(INDEX(A57:$G$100,SMALL(IF(G57:$G$100=G57,ROW(G57:$G$100)-ROW(G57)+1,ROW($G$100)+1),7),1)," ",INDEX(A57:$G$100,SMALL(IF(G57:$G$100=G57,ROW(G57:$G$100)-ROW(G57)+1,ROW($G$100)+1),7),2))),"")</f>
        <v xml:space="preserve"> </v>
      </c>
      <c r="P57" s="7" t="str" cm="1">
        <f t="array" ref="P57">IFERROR(IF(G57=G56,P56,CONCATENATE(INDEX(A57:$G$100,SMALL(IF(G57:$G$100=G57,ROW(G57:$G$100)-ROW(G57)+1,ROW($G$100)+1),8),1)," ",INDEX(A57:$G$100,SMALL(IF(G57:$G$100=G57,ROW(G57:$G$100)-ROW(G57)+1,ROW($G$100)+1),8),2))),"")</f>
        <v xml:space="preserve"> </v>
      </c>
      <c r="Q57" s="7" t="str" cm="1">
        <f t="array" ref="Q57">IFERROR(IF(G57=G56,Q56,CONCATENATE(INDEX(A57:$G$100,SMALL(IF(G57:$G$100=G57,ROW(G57:$G$100)-ROW(G57)+1,ROW($G$100)+1),9),1)," ",INDEX(A57:$G$100,SMALL(IF(G57:$G$100=G57,ROW(G57:$G$100)-ROW(G57)+1,ROW($G$100)+1),9),2))),"")</f>
        <v xml:space="preserve"> </v>
      </c>
      <c r="R57" s="7" t="str" cm="1">
        <f t="array" ref="R57">IFERROR(IF(G57=G56,R56,CONCATENATE(INDEX(A57:$G$100,SMALL(IF(G57:$G$100=G57,ROW(G57:$G$100)-ROW(G57)+1,ROW($G$100)+1),10),1)," ",INDEX(A57:$G$100,SMALL(IF(G57:$G$100=G57,ROW(G57:$G$100)-ROW(G57)+1,ROW($G$100)+1),10),2))),"")</f>
        <v xml:space="preserve"> </v>
      </c>
    </row>
    <row r="58" spans="1:18" x14ac:dyDescent="0.2">
      <c r="A58" s="3"/>
      <c r="B58" s="3"/>
      <c r="C58" s="9"/>
      <c r="D58" s="2" t="str">
        <f t="shared" si="4"/>
        <v/>
      </c>
      <c r="E58" s="2" t="str">
        <f t="shared" si="5"/>
        <v/>
      </c>
      <c r="F58" s="2" t="str">
        <f t="shared" si="6"/>
        <v/>
      </c>
      <c r="G58" s="4"/>
      <c r="H58" s="2" t="str">
        <f t="shared" si="0"/>
        <v/>
      </c>
      <c r="I58" s="1" t="str" cm="1">
        <f t="array" ref="I58">IFERROR(IF(G58=G57,I57,CONCATENATE(INDEX(A58:$G$100,SMALL(IF(G58:$G$100=G58,ROW(G58:$G$100)-ROW(G58)+1,ROW($G$100)+1),1),1)," ",INDEX(A58:$G$100,SMALL(IF(G58:$G$100=G58,ROW(G58:$G$100)-ROW(G58)+1,ROW($G$100)+1),1),2))),"")</f>
        <v xml:space="preserve"> </v>
      </c>
      <c r="J58" s="1" t="str" cm="1">
        <f t="array" ref="J58">IFERROR(IF(G58=G57,J57,CONCATENATE(INDEX(A58:$G$100,SMALL(IF(G58:$G$100=G58,ROW(G58:$G$100)-ROW(G58)+1,ROW($G$100)+1),2),1)," ",INDEX(A58:$G$100,SMALL(IF(G58:$G$100=G58,ROW(G58:$G$100)-ROW(G58)+1,ROW($G$100)+1),2),2))),"")</f>
        <v xml:space="preserve"> </v>
      </c>
      <c r="K58" s="1" t="str" cm="1">
        <f t="array" ref="K58">IFERROR(IF(G58=G57,K57,CONCATENATE(INDEX(A58:$G$100,SMALL(IF(G58:$G$100=G58,ROW(G58:$G$100)-ROW(G58)+1,ROW($G$100)+1),3),1)," ",INDEX(A58:$G$100,SMALL(IF(G58:$G$100=G58,ROW(G58:$G$100)-ROW(G58)+1,ROW($G$100)+1),3),2))),"")</f>
        <v xml:space="preserve"> </v>
      </c>
      <c r="L58" s="1" t="str" cm="1">
        <f t="array" ref="L58">IFERROR(IF(G58=G57,L57,CONCATENATE(INDEX(A58:$G$100,SMALL(IF(G58:$G$100=G58,ROW(G58:$G$100)-ROW(G58)+1,ROW($G$100)+1),4),1)," ",INDEX(A58:$G$100,SMALL(IF(G58:$G$100=G58,ROW(G58:$G$100)-ROW(G58)+1,ROW($G$100)+1),4),2))),"")</f>
        <v xml:space="preserve"> </v>
      </c>
      <c r="M58" s="1" t="str" cm="1">
        <f t="array" ref="M58">IFERROR(IF(G58=G57,M57,CONCATENATE(INDEX(A58:$G$100,SMALL(IF(G58:$G$100=G58,ROW(G58:$G$100)-ROW(G58)+1,ROW($G$100)+1),5),1)," ",INDEX(A58:$G$100,SMALL(IF(G58:$G$100=G58,ROW(G58:$G$100)-ROW(G58)+1,ROW($G$100)+1),5),2))),"")</f>
        <v xml:space="preserve"> </v>
      </c>
      <c r="N58" s="1" t="str" cm="1">
        <f t="array" ref="N58">IFERROR(IF(G58=G57,N57,CONCATENATE(INDEX(A58:$G$100,SMALL(IF(G58:$G$100=G58,ROW(G58:$G$100)-ROW(G58)+1,ROW($G$100)+1),6),1)," ",INDEX(A58:$G$100,SMALL(IF(G58:$G$100=G58,ROW(G58:$G$100)-ROW(G58)+1,ROW($G$100)+1),6),2))),"")</f>
        <v xml:space="preserve"> </v>
      </c>
      <c r="O58" s="1" t="str" cm="1">
        <f t="array" ref="O58">IFERROR(IF(G58=G57,O57,CONCATENATE(INDEX(A58:$G$100,SMALL(IF(G58:$G$100=G58,ROW(G58:$G$100)-ROW(G58)+1,ROW($G$100)+1),7),1)," ",INDEX(A58:$G$100,SMALL(IF(G58:$G$100=G58,ROW(G58:$G$100)-ROW(G58)+1,ROW($G$100)+1),7),2))),"")</f>
        <v xml:space="preserve"> </v>
      </c>
      <c r="P58" s="1" t="str" cm="1">
        <f t="array" ref="P58">IFERROR(IF(G58=G57,P57,CONCATENATE(INDEX(A58:$G$100,SMALL(IF(G58:$G$100=G58,ROW(G58:$G$100)-ROW(G58)+1,ROW($G$100)+1),8),1)," ",INDEX(A58:$G$100,SMALL(IF(G58:$G$100=G58,ROW(G58:$G$100)-ROW(G58)+1,ROW($G$100)+1),8),2))),"")</f>
        <v xml:space="preserve"> </v>
      </c>
      <c r="Q58" s="1" t="str" cm="1">
        <f t="array" ref="Q58">IFERROR(IF(G58=G57,Q57,CONCATENATE(INDEX(A58:$G$100,SMALL(IF(G58:$G$100=G58,ROW(G58:$G$100)-ROW(G58)+1,ROW($G$100)+1),9),1)," ",INDEX(A58:$G$100,SMALL(IF(G58:$G$100=G58,ROW(G58:$G$100)-ROW(G58)+1,ROW($G$100)+1),9),2))),"")</f>
        <v xml:space="preserve"> </v>
      </c>
      <c r="R58" s="1" t="str" cm="1">
        <f t="array" ref="R58">IFERROR(IF(G58=G57,R57,CONCATENATE(INDEX(A58:$G$100,SMALL(IF(G58:$G$100=G58,ROW(G58:$G$100)-ROW(G58)+1,ROW($G$100)+1),10),1)," ",INDEX(A58:$G$100,SMALL(IF(G58:$G$100=G58,ROW(G58:$G$100)-ROW(G58)+1,ROW($G$100)+1),10),2))),"")</f>
        <v xml:space="preserve"> </v>
      </c>
    </row>
    <row r="59" spans="1:18" s="7" customFormat="1" x14ac:dyDescent="0.2">
      <c r="A59" s="10"/>
      <c r="B59" s="10"/>
      <c r="C59" s="11"/>
      <c r="D59" s="8" t="str">
        <f t="shared" si="4"/>
        <v/>
      </c>
      <c r="E59" s="8" t="str">
        <f t="shared" si="5"/>
        <v/>
      </c>
      <c r="F59" s="8" t="str">
        <f t="shared" si="6"/>
        <v/>
      </c>
      <c r="G59" s="12"/>
      <c r="H59" s="8" t="str">
        <f t="shared" si="0"/>
        <v/>
      </c>
      <c r="I59" s="7" t="str" cm="1">
        <f t="array" ref="I59">IFERROR(IF(G59=G58,I58,CONCATENATE(INDEX(A59:$G$100,SMALL(IF(G59:$G$100=G59,ROW(G59:$G$100)-ROW(G59)+1,ROW($G$100)+1),1),1)," ",INDEX(A59:$G$100,SMALL(IF(G59:$G$100=G59,ROW(G59:$G$100)-ROW(G59)+1,ROW($G$100)+1),1),2))),"")</f>
        <v xml:space="preserve"> </v>
      </c>
      <c r="J59" s="7" t="str" cm="1">
        <f t="array" ref="J59">IFERROR(IF(G59=G58,J58,CONCATENATE(INDEX(A59:$G$100,SMALL(IF(G59:$G$100=G59,ROW(G59:$G$100)-ROW(G59)+1,ROW($G$100)+1),2),1)," ",INDEX(A59:$G$100,SMALL(IF(G59:$G$100=G59,ROW(G59:$G$100)-ROW(G59)+1,ROW($G$100)+1),2),2))),"")</f>
        <v xml:space="preserve"> </v>
      </c>
      <c r="K59" s="7" t="str" cm="1">
        <f t="array" ref="K59">IFERROR(IF(G59=G58,K58,CONCATENATE(INDEX(A59:$G$100,SMALL(IF(G59:$G$100=G59,ROW(G59:$G$100)-ROW(G59)+1,ROW($G$100)+1),3),1)," ",INDEX(A59:$G$100,SMALL(IF(G59:$G$100=G59,ROW(G59:$G$100)-ROW(G59)+1,ROW($G$100)+1),3),2))),"")</f>
        <v xml:space="preserve"> </v>
      </c>
      <c r="L59" s="7" t="str" cm="1">
        <f t="array" ref="L59">IFERROR(IF(G59=G58,L58,CONCATENATE(INDEX(A59:$G$100,SMALL(IF(G59:$G$100=G59,ROW(G59:$G$100)-ROW(G59)+1,ROW($G$100)+1),4),1)," ",INDEX(A59:$G$100,SMALL(IF(G59:$G$100=G59,ROW(G59:$G$100)-ROW(G59)+1,ROW($G$100)+1),4),2))),"")</f>
        <v xml:space="preserve"> </v>
      </c>
      <c r="M59" s="7" t="str" cm="1">
        <f t="array" ref="M59">IFERROR(IF(G59=G58,M58,CONCATENATE(INDEX(A59:$G$100,SMALL(IF(G59:$G$100=G59,ROW(G59:$G$100)-ROW(G59)+1,ROW($G$100)+1),5),1)," ",INDEX(A59:$G$100,SMALL(IF(G59:$G$100=G59,ROW(G59:$G$100)-ROW(G59)+1,ROW($G$100)+1),5),2))),"")</f>
        <v xml:space="preserve"> </v>
      </c>
      <c r="N59" s="7" t="str" cm="1">
        <f t="array" ref="N59">IFERROR(IF(G59=G58,N58,CONCATENATE(INDEX(A59:$G$100,SMALL(IF(G59:$G$100=G59,ROW(G59:$G$100)-ROW(G59)+1,ROW($G$100)+1),6),1)," ",INDEX(A59:$G$100,SMALL(IF(G59:$G$100=G59,ROW(G59:$G$100)-ROW(G59)+1,ROW($G$100)+1),6),2))),"")</f>
        <v xml:space="preserve"> </v>
      </c>
      <c r="O59" s="7" t="str" cm="1">
        <f t="array" ref="O59">IFERROR(IF(G59=G58,O58,CONCATENATE(INDEX(A59:$G$100,SMALL(IF(G59:$G$100=G59,ROW(G59:$G$100)-ROW(G59)+1,ROW($G$100)+1),7),1)," ",INDEX(A59:$G$100,SMALL(IF(G59:$G$100=G59,ROW(G59:$G$100)-ROW(G59)+1,ROW($G$100)+1),7),2))),"")</f>
        <v xml:space="preserve"> </v>
      </c>
      <c r="P59" s="7" t="str" cm="1">
        <f t="array" ref="P59">IFERROR(IF(G59=G58,P58,CONCATENATE(INDEX(A59:$G$100,SMALL(IF(G59:$G$100=G59,ROW(G59:$G$100)-ROW(G59)+1,ROW($G$100)+1),8),1)," ",INDEX(A59:$G$100,SMALL(IF(G59:$G$100=G59,ROW(G59:$G$100)-ROW(G59)+1,ROW($G$100)+1),8),2))),"")</f>
        <v xml:space="preserve"> </v>
      </c>
      <c r="Q59" s="7" t="str" cm="1">
        <f t="array" ref="Q59">IFERROR(IF(G59=G58,Q58,CONCATENATE(INDEX(A59:$G$100,SMALL(IF(G59:$G$100=G59,ROW(G59:$G$100)-ROW(G59)+1,ROW($G$100)+1),9),1)," ",INDEX(A59:$G$100,SMALL(IF(G59:$G$100=G59,ROW(G59:$G$100)-ROW(G59)+1,ROW($G$100)+1),9),2))),"")</f>
        <v xml:space="preserve"> </v>
      </c>
      <c r="R59" s="7" t="str" cm="1">
        <f t="array" ref="R59">IFERROR(IF(G59=G58,R58,CONCATENATE(INDEX(A59:$G$100,SMALL(IF(G59:$G$100=G59,ROW(G59:$G$100)-ROW(G59)+1,ROW($G$100)+1),10),1)," ",INDEX(A59:$G$100,SMALL(IF(G59:$G$100=G59,ROW(G59:$G$100)-ROW(G59)+1,ROW($G$100)+1),10),2))),"")</f>
        <v xml:space="preserve"> </v>
      </c>
    </row>
    <row r="60" spans="1:18" x14ac:dyDescent="0.2">
      <c r="A60" s="3"/>
      <c r="B60" s="3"/>
      <c r="C60" s="9"/>
      <c r="D60" s="2" t="str">
        <f t="shared" si="4"/>
        <v/>
      </c>
      <c r="E60" s="2" t="str">
        <f t="shared" si="5"/>
        <v/>
      </c>
      <c r="F60" s="2" t="str">
        <f t="shared" si="6"/>
        <v/>
      </c>
      <c r="G60" s="4"/>
      <c r="H60" s="2" t="str">
        <f t="shared" si="0"/>
        <v/>
      </c>
      <c r="I60" s="1" t="str" cm="1">
        <f t="array" ref="I60">IFERROR(IF(G60=G59,I59,CONCATENATE(INDEX(A60:$G$100,SMALL(IF(G60:$G$100=G60,ROW(G60:$G$100)-ROW(G60)+1,ROW($G$100)+1),1),1)," ",INDEX(A60:$G$100,SMALL(IF(G60:$G$100=G60,ROW(G60:$G$100)-ROW(G60)+1,ROW($G$100)+1),1),2))),"")</f>
        <v xml:space="preserve"> </v>
      </c>
      <c r="J60" s="1" t="str" cm="1">
        <f t="array" ref="J60">IFERROR(IF(G60=G59,J59,CONCATENATE(INDEX(A60:$G$100,SMALL(IF(G60:$G$100=G60,ROW(G60:$G$100)-ROW(G60)+1,ROW($G$100)+1),2),1)," ",INDEX(A60:$G$100,SMALL(IF(G60:$G$100=G60,ROW(G60:$G$100)-ROW(G60)+1,ROW($G$100)+1),2),2))),"")</f>
        <v xml:space="preserve"> </v>
      </c>
      <c r="K60" s="1" t="str" cm="1">
        <f t="array" ref="K60">IFERROR(IF(G60=G59,K59,CONCATENATE(INDEX(A60:$G$100,SMALL(IF(G60:$G$100=G60,ROW(G60:$G$100)-ROW(G60)+1,ROW($G$100)+1),3),1)," ",INDEX(A60:$G$100,SMALL(IF(G60:$G$100=G60,ROW(G60:$G$100)-ROW(G60)+1,ROW($G$100)+1),3),2))),"")</f>
        <v xml:space="preserve"> </v>
      </c>
      <c r="L60" s="1" t="str" cm="1">
        <f t="array" ref="L60">IFERROR(IF(G60=G59,L59,CONCATENATE(INDEX(A60:$G$100,SMALL(IF(G60:$G$100=G60,ROW(G60:$G$100)-ROW(G60)+1,ROW($G$100)+1),4),1)," ",INDEX(A60:$G$100,SMALL(IF(G60:$G$100=G60,ROW(G60:$G$100)-ROW(G60)+1,ROW($G$100)+1),4),2))),"")</f>
        <v xml:space="preserve"> </v>
      </c>
      <c r="M60" s="1" t="str" cm="1">
        <f t="array" ref="M60">IFERROR(IF(G60=G59,M59,CONCATENATE(INDEX(A60:$G$100,SMALL(IF(G60:$G$100=G60,ROW(G60:$G$100)-ROW(G60)+1,ROW($G$100)+1),5),1)," ",INDEX(A60:$G$100,SMALL(IF(G60:$G$100=G60,ROW(G60:$G$100)-ROW(G60)+1,ROW($G$100)+1),5),2))),"")</f>
        <v xml:space="preserve"> </v>
      </c>
      <c r="N60" s="1" t="str" cm="1">
        <f t="array" ref="N60">IFERROR(IF(G60=G59,N59,CONCATENATE(INDEX(A60:$G$100,SMALL(IF(G60:$G$100=G60,ROW(G60:$G$100)-ROW(G60)+1,ROW($G$100)+1),6),1)," ",INDEX(A60:$G$100,SMALL(IF(G60:$G$100=G60,ROW(G60:$G$100)-ROW(G60)+1,ROW($G$100)+1),6),2))),"")</f>
        <v xml:space="preserve"> </v>
      </c>
      <c r="O60" s="1" t="str" cm="1">
        <f t="array" ref="O60">IFERROR(IF(G60=G59,O59,CONCATENATE(INDEX(A60:$G$100,SMALL(IF(G60:$G$100=G60,ROW(G60:$G$100)-ROW(G60)+1,ROW($G$100)+1),7),1)," ",INDEX(A60:$G$100,SMALL(IF(G60:$G$100=G60,ROW(G60:$G$100)-ROW(G60)+1,ROW($G$100)+1),7),2))),"")</f>
        <v xml:space="preserve"> </v>
      </c>
      <c r="P60" s="1" t="str" cm="1">
        <f t="array" ref="P60">IFERROR(IF(G60=G59,P59,CONCATENATE(INDEX(A60:$G$100,SMALL(IF(G60:$G$100=G60,ROW(G60:$G$100)-ROW(G60)+1,ROW($G$100)+1),8),1)," ",INDEX(A60:$G$100,SMALL(IF(G60:$G$100=G60,ROW(G60:$G$100)-ROW(G60)+1,ROW($G$100)+1),8),2))),"")</f>
        <v xml:space="preserve"> </v>
      </c>
      <c r="Q60" s="1" t="str" cm="1">
        <f t="array" ref="Q60">IFERROR(IF(G60=G59,Q59,CONCATENATE(INDEX(A60:$G$100,SMALL(IF(G60:$G$100=G60,ROW(G60:$G$100)-ROW(G60)+1,ROW($G$100)+1),9),1)," ",INDEX(A60:$G$100,SMALL(IF(G60:$G$100=G60,ROW(G60:$G$100)-ROW(G60)+1,ROW($G$100)+1),9),2))),"")</f>
        <v xml:space="preserve"> </v>
      </c>
      <c r="R60" s="1" t="str" cm="1">
        <f t="array" ref="R60">IFERROR(IF(G60=G59,R59,CONCATENATE(INDEX(A60:$G$100,SMALL(IF(G60:$G$100=G60,ROW(G60:$G$100)-ROW(G60)+1,ROW($G$100)+1),10),1)," ",INDEX(A60:$G$100,SMALL(IF(G60:$G$100=G60,ROW(G60:$G$100)-ROW(G60)+1,ROW($G$100)+1),10),2))),"")</f>
        <v xml:space="preserve"> </v>
      </c>
    </row>
    <row r="61" spans="1:18" s="7" customFormat="1" x14ac:dyDescent="0.2">
      <c r="A61" s="10"/>
      <c r="B61" s="10"/>
      <c r="C61" s="11"/>
      <c r="D61" s="8" t="str">
        <f t="shared" si="4"/>
        <v/>
      </c>
      <c r="E61" s="8" t="str">
        <f t="shared" si="5"/>
        <v/>
      </c>
      <c r="F61" s="8" t="str">
        <f t="shared" si="6"/>
        <v/>
      </c>
      <c r="G61" s="12"/>
      <c r="H61" s="8" t="str">
        <f t="shared" si="0"/>
        <v/>
      </c>
      <c r="I61" s="7" t="str" cm="1">
        <f t="array" ref="I61">IFERROR(IF(G61=G60,I60,CONCATENATE(INDEX(A61:$G$100,SMALL(IF(G61:$G$100=G61,ROW(G61:$G$100)-ROW(G61)+1,ROW($G$100)+1),1),1)," ",INDEX(A61:$G$100,SMALL(IF(G61:$G$100=G61,ROW(G61:$G$100)-ROW(G61)+1,ROW($G$100)+1),1),2))),"")</f>
        <v xml:space="preserve"> </v>
      </c>
      <c r="J61" s="7" t="str" cm="1">
        <f t="array" ref="J61">IFERROR(IF(G61=G60,J60,CONCATENATE(INDEX(A61:$G$100,SMALL(IF(G61:$G$100=G61,ROW(G61:$G$100)-ROW(G61)+1,ROW($G$100)+1),2),1)," ",INDEX(A61:$G$100,SMALL(IF(G61:$G$100=G61,ROW(G61:$G$100)-ROW(G61)+1,ROW($G$100)+1),2),2))),"")</f>
        <v xml:space="preserve"> </v>
      </c>
      <c r="K61" s="7" t="str" cm="1">
        <f t="array" ref="K61">IFERROR(IF(G61=G60,K60,CONCATENATE(INDEX(A61:$G$100,SMALL(IF(G61:$G$100=G61,ROW(G61:$G$100)-ROW(G61)+1,ROW($G$100)+1),3),1)," ",INDEX(A61:$G$100,SMALL(IF(G61:$G$100=G61,ROW(G61:$G$100)-ROW(G61)+1,ROW($G$100)+1),3),2))),"")</f>
        <v xml:space="preserve"> </v>
      </c>
      <c r="L61" s="7" t="str" cm="1">
        <f t="array" ref="L61">IFERROR(IF(G61=G60,L60,CONCATENATE(INDEX(A61:$G$100,SMALL(IF(G61:$G$100=G61,ROW(G61:$G$100)-ROW(G61)+1,ROW($G$100)+1),4),1)," ",INDEX(A61:$G$100,SMALL(IF(G61:$G$100=G61,ROW(G61:$G$100)-ROW(G61)+1,ROW($G$100)+1),4),2))),"")</f>
        <v xml:space="preserve"> </v>
      </c>
      <c r="M61" s="7" t="str" cm="1">
        <f t="array" ref="M61">IFERROR(IF(G61=G60,M60,CONCATENATE(INDEX(A61:$G$100,SMALL(IF(G61:$G$100=G61,ROW(G61:$G$100)-ROW(G61)+1,ROW($G$100)+1),5),1)," ",INDEX(A61:$G$100,SMALL(IF(G61:$G$100=G61,ROW(G61:$G$100)-ROW(G61)+1,ROW($G$100)+1),5),2))),"")</f>
        <v xml:space="preserve"> </v>
      </c>
      <c r="N61" s="7" t="str" cm="1">
        <f t="array" ref="N61">IFERROR(IF(G61=G60,N60,CONCATENATE(INDEX(A61:$G$100,SMALL(IF(G61:$G$100=G61,ROW(G61:$G$100)-ROW(G61)+1,ROW($G$100)+1),6),1)," ",INDEX(A61:$G$100,SMALL(IF(G61:$G$100=G61,ROW(G61:$G$100)-ROW(G61)+1,ROW($G$100)+1),6),2))),"")</f>
        <v xml:space="preserve"> </v>
      </c>
      <c r="O61" s="7" t="str" cm="1">
        <f t="array" ref="O61">IFERROR(IF(G61=G60,O60,CONCATENATE(INDEX(A61:$G$100,SMALL(IF(G61:$G$100=G61,ROW(G61:$G$100)-ROW(G61)+1,ROW($G$100)+1),7),1)," ",INDEX(A61:$G$100,SMALL(IF(G61:$G$100=G61,ROW(G61:$G$100)-ROW(G61)+1,ROW($G$100)+1),7),2))),"")</f>
        <v xml:space="preserve"> </v>
      </c>
      <c r="P61" s="7" t="str" cm="1">
        <f t="array" ref="P61">IFERROR(IF(G61=G60,P60,CONCATENATE(INDEX(A61:$G$100,SMALL(IF(G61:$G$100=G61,ROW(G61:$G$100)-ROW(G61)+1,ROW($G$100)+1),8),1)," ",INDEX(A61:$G$100,SMALL(IF(G61:$G$100=G61,ROW(G61:$G$100)-ROW(G61)+1,ROW($G$100)+1),8),2))),"")</f>
        <v xml:space="preserve"> </v>
      </c>
      <c r="Q61" s="7" t="str" cm="1">
        <f t="array" ref="Q61">IFERROR(IF(G61=G60,Q60,CONCATENATE(INDEX(A61:$G$100,SMALL(IF(G61:$G$100=G61,ROW(G61:$G$100)-ROW(G61)+1,ROW($G$100)+1),9),1)," ",INDEX(A61:$G$100,SMALL(IF(G61:$G$100=G61,ROW(G61:$G$100)-ROW(G61)+1,ROW($G$100)+1),9),2))),"")</f>
        <v xml:space="preserve"> </v>
      </c>
      <c r="R61" s="7" t="str" cm="1">
        <f t="array" ref="R61">IFERROR(IF(G61=G60,R60,CONCATENATE(INDEX(A61:$G$100,SMALL(IF(G61:$G$100=G61,ROW(G61:$G$100)-ROW(G61)+1,ROW($G$100)+1),10),1)," ",INDEX(A61:$G$100,SMALL(IF(G61:$G$100=G61,ROW(G61:$G$100)-ROW(G61)+1,ROW($G$100)+1),10),2))),"")</f>
        <v xml:space="preserve"> </v>
      </c>
    </row>
    <row r="62" spans="1:18" x14ac:dyDescent="0.2">
      <c r="A62" s="3"/>
      <c r="B62" s="3"/>
      <c r="C62" s="9"/>
      <c r="D62" s="2" t="str">
        <f t="shared" si="4"/>
        <v/>
      </c>
      <c r="E62" s="2" t="str">
        <f t="shared" si="5"/>
        <v/>
      </c>
      <c r="F62" s="2" t="str">
        <f t="shared" si="6"/>
        <v/>
      </c>
      <c r="G62" s="4"/>
      <c r="H62" s="2" t="str">
        <f t="shared" si="0"/>
        <v/>
      </c>
      <c r="I62" s="1" t="str" cm="1">
        <f t="array" ref="I62">IFERROR(IF(G62=G61,I61,CONCATENATE(INDEX(A62:$G$100,SMALL(IF(G62:$G$100=G62,ROW(G62:$G$100)-ROW(G62)+1,ROW($G$100)+1),1),1)," ",INDEX(A62:$G$100,SMALL(IF(G62:$G$100=G62,ROW(G62:$G$100)-ROW(G62)+1,ROW($G$100)+1),1),2))),"")</f>
        <v xml:space="preserve"> </v>
      </c>
      <c r="J62" s="1" t="str" cm="1">
        <f t="array" ref="J62">IFERROR(IF(G62=G61,J61,CONCATENATE(INDEX(A62:$G$100,SMALL(IF(G62:$G$100=G62,ROW(G62:$G$100)-ROW(G62)+1,ROW($G$100)+1),2),1)," ",INDEX(A62:$G$100,SMALL(IF(G62:$G$100=G62,ROW(G62:$G$100)-ROW(G62)+1,ROW($G$100)+1),2),2))),"")</f>
        <v xml:space="preserve"> </v>
      </c>
      <c r="K62" s="1" t="str" cm="1">
        <f t="array" ref="K62">IFERROR(IF(G62=G61,K61,CONCATENATE(INDEX(A62:$G$100,SMALL(IF(G62:$G$100=G62,ROW(G62:$G$100)-ROW(G62)+1,ROW($G$100)+1),3),1)," ",INDEX(A62:$G$100,SMALL(IF(G62:$G$100=G62,ROW(G62:$G$100)-ROW(G62)+1,ROW($G$100)+1),3),2))),"")</f>
        <v xml:space="preserve"> </v>
      </c>
      <c r="L62" s="1" t="str" cm="1">
        <f t="array" ref="L62">IFERROR(IF(G62=G61,L61,CONCATENATE(INDEX(A62:$G$100,SMALL(IF(G62:$G$100=G62,ROW(G62:$G$100)-ROW(G62)+1,ROW($G$100)+1),4),1)," ",INDEX(A62:$G$100,SMALL(IF(G62:$G$100=G62,ROW(G62:$G$100)-ROW(G62)+1,ROW($G$100)+1),4),2))),"")</f>
        <v xml:space="preserve"> </v>
      </c>
      <c r="M62" s="1" t="str" cm="1">
        <f t="array" ref="M62">IFERROR(IF(G62=G61,M61,CONCATENATE(INDEX(A62:$G$100,SMALL(IF(G62:$G$100=G62,ROW(G62:$G$100)-ROW(G62)+1,ROW($G$100)+1),5),1)," ",INDEX(A62:$G$100,SMALL(IF(G62:$G$100=G62,ROW(G62:$G$100)-ROW(G62)+1,ROW($G$100)+1),5),2))),"")</f>
        <v xml:space="preserve"> </v>
      </c>
      <c r="N62" s="1" t="str" cm="1">
        <f t="array" ref="N62">IFERROR(IF(G62=G61,N61,CONCATENATE(INDEX(A62:$G$100,SMALL(IF(G62:$G$100=G62,ROW(G62:$G$100)-ROW(G62)+1,ROW($G$100)+1),6),1)," ",INDEX(A62:$G$100,SMALL(IF(G62:$G$100=G62,ROW(G62:$G$100)-ROW(G62)+1,ROW($G$100)+1),6),2))),"")</f>
        <v xml:space="preserve"> </v>
      </c>
      <c r="O62" s="1" t="str" cm="1">
        <f t="array" ref="O62">IFERROR(IF(G62=G61,O61,CONCATENATE(INDEX(A62:$G$100,SMALL(IF(G62:$G$100=G62,ROW(G62:$G$100)-ROW(G62)+1,ROW($G$100)+1),7),1)," ",INDEX(A62:$G$100,SMALL(IF(G62:$G$100=G62,ROW(G62:$G$100)-ROW(G62)+1,ROW($G$100)+1),7),2))),"")</f>
        <v xml:space="preserve"> </v>
      </c>
      <c r="P62" s="1" t="str" cm="1">
        <f t="array" ref="P62">IFERROR(IF(G62=G61,P61,CONCATENATE(INDEX(A62:$G$100,SMALL(IF(G62:$G$100=G62,ROW(G62:$G$100)-ROW(G62)+1,ROW($G$100)+1),8),1)," ",INDEX(A62:$G$100,SMALL(IF(G62:$G$100=G62,ROW(G62:$G$100)-ROW(G62)+1,ROW($G$100)+1),8),2))),"")</f>
        <v xml:space="preserve"> </v>
      </c>
      <c r="Q62" s="1" t="str" cm="1">
        <f t="array" ref="Q62">IFERROR(IF(G62=G61,Q61,CONCATENATE(INDEX(A62:$G$100,SMALL(IF(G62:$G$100=G62,ROW(G62:$G$100)-ROW(G62)+1,ROW($G$100)+1),9),1)," ",INDEX(A62:$G$100,SMALL(IF(G62:$G$100=G62,ROW(G62:$G$100)-ROW(G62)+1,ROW($G$100)+1),9),2))),"")</f>
        <v xml:space="preserve"> </v>
      </c>
      <c r="R62" s="1" t="str" cm="1">
        <f t="array" ref="R62">IFERROR(IF(G62=G61,R61,CONCATENATE(INDEX(A62:$G$100,SMALL(IF(G62:$G$100=G62,ROW(G62:$G$100)-ROW(G62)+1,ROW($G$100)+1),10),1)," ",INDEX(A62:$G$100,SMALL(IF(G62:$G$100=G62,ROW(G62:$G$100)-ROW(G62)+1,ROW($G$100)+1),10),2))),"")</f>
        <v xml:space="preserve"> </v>
      </c>
    </row>
    <row r="63" spans="1:18" s="7" customFormat="1" x14ac:dyDescent="0.2">
      <c r="A63" s="10"/>
      <c r="B63" s="10"/>
      <c r="C63" s="11"/>
      <c r="D63" s="8" t="str">
        <f t="shared" si="4"/>
        <v/>
      </c>
      <c r="E63" s="8" t="str">
        <f t="shared" si="5"/>
        <v/>
      </c>
      <c r="F63" s="8" t="str">
        <f t="shared" si="6"/>
        <v/>
      </c>
      <c r="G63" s="12"/>
      <c r="H63" s="8" t="str">
        <f t="shared" si="0"/>
        <v/>
      </c>
      <c r="I63" s="7" t="str" cm="1">
        <f t="array" ref="I63">IFERROR(IF(G63=G62,I62,CONCATENATE(INDEX(A63:$G$100,SMALL(IF(G63:$G$100=G63,ROW(G63:$G$100)-ROW(G63)+1,ROW($G$100)+1),1),1)," ",INDEX(A63:$G$100,SMALL(IF(G63:$G$100=G63,ROW(G63:$G$100)-ROW(G63)+1,ROW($G$100)+1),1),2))),"")</f>
        <v xml:space="preserve"> </v>
      </c>
      <c r="J63" s="7" t="str" cm="1">
        <f t="array" ref="J63">IFERROR(IF(G63=G62,J62,CONCATENATE(INDEX(A63:$G$100,SMALL(IF(G63:$G$100=G63,ROW(G63:$G$100)-ROW(G63)+1,ROW($G$100)+1),2),1)," ",INDEX(A63:$G$100,SMALL(IF(G63:$G$100=G63,ROW(G63:$G$100)-ROW(G63)+1,ROW($G$100)+1),2),2))),"")</f>
        <v xml:space="preserve"> </v>
      </c>
      <c r="K63" s="7" t="str" cm="1">
        <f t="array" ref="K63">IFERROR(IF(G63=G62,K62,CONCATENATE(INDEX(A63:$G$100,SMALL(IF(G63:$G$100=G63,ROW(G63:$G$100)-ROW(G63)+1,ROW($G$100)+1),3),1)," ",INDEX(A63:$G$100,SMALL(IF(G63:$G$100=G63,ROW(G63:$G$100)-ROW(G63)+1,ROW($G$100)+1),3),2))),"")</f>
        <v xml:space="preserve"> </v>
      </c>
      <c r="L63" s="7" t="str" cm="1">
        <f t="array" ref="L63">IFERROR(IF(G63=G62,L62,CONCATENATE(INDEX(A63:$G$100,SMALL(IF(G63:$G$100=G63,ROW(G63:$G$100)-ROW(G63)+1,ROW($G$100)+1),4),1)," ",INDEX(A63:$G$100,SMALL(IF(G63:$G$100=G63,ROW(G63:$G$100)-ROW(G63)+1,ROW($G$100)+1),4),2))),"")</f>
        <v xml:space="preserve"> </v>
      </c>
      <c r="M63" s="7" t="str" cm="1">
        <f t="array" ref="M63">IFERROR(IF(G63=G62,M62,CONCATENATE(INDEX(A63:$G$100,SMALL(IF(G63:$G$100=G63,ROW(G63:$G$100)-ROW(G63)+1,ROW($G$100)+1),5),1)," ",INDEX(A63:$G$100,SMALL(IF(G63:$G$100=G63,ROW(G63:$G$100)-ROW(G63)+1,ROW($G$100)+1),5),2))),"")</f>
        <v xml:space="preserve"> </v>
      </c>
      <c r="N63" s="7" t="str" cm="1">
        <f t="array" ref="N63">IFERROR(IF(G63=G62,N62,CONCATENATE(INDEX(A63:$G$100,SMALL(IF(G63:$G$100=G63,ROW(G63:$G$100)-ROW(G63)+1,ROW($G$100)+1),6),1)," ",INDEX(A63:$G$100,SMALL(IF(G63:$G$100=G63,ROW(G63:$G$100)-ROW(G63)+1,ROW($G$100)+1),6),2))),"")</f>
        <v xml:space="preserve"> </v>
      </c>
      <c r="O63" s="7" t="str" cm="1">
        <f t="array" ref="O63">IFERROR(IF(G63=G62,O62,CONCATENATE(INDEX(A63:$G$100,SMALL(IF(G63:$G$100=G63,ROW(G63:$G$100)-ROW(G63)+1,ROW($G$100)+1),7),1)," ",INDEX(A63:$G$100,SMALL(IF(G63:$G$100=G63,ROW(G63:$G$100)-ROW(G63)+1,ROW($G$100)+1),7),2))),"")</f>
        <v xml:space="preserve"> </v>
      </c>
      <c r="P63" s="7" t="str" cm="1">
        <f t="array" ref="P63">IFERROR(IF(G63=G62,P62,CONCATENATE(INDEX(A63:$G$100,SMALL(IF(G63:$G$100=G63,ROW(G63:$G$100)-ROW(G63)+1,ROW($G$100)+1),8),1)," ",INDEX(A63:$G$100,SMALL(IF(G63:$G$100=G63,ROW(G63:$G$100)-ROW(G63)+1,ROW($G$100)+1),8),2))),"")</f>
        <v xml:space="preserve"> </v>
      </c>
      <c r="Q63" s="7" t="str" cm="1">
        <f t="array" ref="Q63">IFERROR(IF(G63=G62,Q62,CONCATENATE(INDEX(A63:$G$100,SMALL(IF(G63:$G$100=G63,ROW(G63:$G$100)-ROW(G63)+1,ROW($G$100)+1),9),1)," ",INDEX(A63:$G$100,SMALL(IF(G63:$G$100=G63,ROW(G63:$G$100)-ROW(G63)+1,ROW($G$100)+1),9),2))),"")</f>
        <v xml:space="preserve"> </v>
      </c>
      <c r="R63" s="7" t="str" cm="1">
        <f t="array" ref="R63">IFERROR(IF(G63=G62,R62,CONCATENATE(INDEX(A63:$G$100,SMALL(IF(G63:$G$100=G63,ROW(G63:$G$100)-ROW(G63)+1,ROW($G$100)+1),10),1)," ",INDEX(A63:$G$100,SMALL(IF(G63:$G$100=G63,ROW(G63:$G$100)-ROW(G63)+1,ROW($G$100)+1),10),2))),"")</f>
        <v xml:space="preserve"> </v>
      </c>
    </row>
    <row r="64" spans="1:18" x14ac:dyDescent="0.2">
      <c r="A64" s="3"/>
      <c r="B64" s="3"/>
      <c r="C64" s="9"/>
      <c r="D64" s="2" t="str">
        <f t="shared" si="4"/>
        <v/>
      </c>
      <c r="E64" s="2" t="str">
        <f t="shared" si="5"/>
        <v/>
      </c>
      <c r="F64" s="2" t="str">
        <f t="shared" si="6"/>
        <v/>
      </c>
      <c r="G64" s="4"/>
      <c r="H64" s="2" t="str">
        <f t="shared" si="0"/>
        <v/>
      </c>
      <c r="I64" s="1" t="str" cm="1">
        <f t="array" ref="I64">IFERROR(IF(G64=G63,I63,CONCATENATE(INDEX(A64:$G$100,SMALL(IF(G64:$G$100=G64,ROW(G64:$G$100)-ROW(G64)+1,ROW($G$100)+1),1),1)," ",INDEX(A64:$G$100,SMALL(IF(G64:$G$100=G64,ROW(G64:$G$100)-ROW(G64)+1,ROW($G$100)+1),1),2))),"")</f>
        <v xml:space="preserve"> </v>
      </c>
      <c r="J64" s="1" t="str" cm="1">
        <f t="array" ref="J64">IFERROR(IF(G64=G63,J63,CONCATENATE(INDEX(A64:$G$100,SMALL(IF(G64:$G$100=G64,ROW(G64:$G$100)-ROW(G64)+1,ROW($G$100)+1),2),1)," ",INDEX(A64:$G$100,SMALL(IF(G64:$G$100=G64,ROW(G64:$G$100)-ROW(G64)+1,ROW($G$100)+1),2),2))),"")</f>
        <v xml:space="preserve"> </v>
      </c>
      <c r="K64" s="1" t="str" cm="1">
        <f t="array" ref="K64">IFERROR(IF(G64=G63,K63,CONCATENATE(INDEX(A64:$G$100,SMALL(IF(G64:$G$100=G64,ROW(G64:$G$100)-ROW(G64)+1,ROW($G$100)+1),3),1)," ",INDEX(A64:$G$100,SMALL(IF(G64:$G$100=G64,ROW(G64:$G$100)-ROW(G64)+1,ROW($G$100)+1),3),2))),"")</f>
        <v xml:space="preserve"> </v>
      </c>
      <c r="L64" s="1" t="str" cm="1">
        <f t="array" ref="L64">IFERROR(IF(G64=G63,L63,CONCATENATE(INDEX(A64:$G$100,SMALL(IF(G64:$G$100=G64,ROW(G64:$G$100)-ROW(G64)+1,ROW($G$100)+1),4),1)," ",INDEX(A64:$G$100,SMALL(IF(G64:$G$100=G64,ROW(G64:$G$100)-ROW(G64)+1,ROW($G$100)+1),4),2))),"")</f>
        <v xml:space="preserve"> </v>
      </c>
      <c r="M64" s="1" t="str" cm="1">
        <f t="array" ref="M64">IFERROR(IF(G64=G63,M63,CONCATENATE(INDEX(A64:$G$100,SMALL(IF(G64:$G$100=G64,ROW(G64:$G$100)-ROW(G64)+1,ROW($G$100)+1),5),1)," ",INDEX(A64:$G$100,SMALL(IF(G64:$G$100=G64,ROW(G64:$G$100)-ROW(G64)+1,ROW($G$100)+1),5),2))),"")</f>
        <v xml:space="preserve"> </v>
      </c>
      <c r="N64" s="1" t="str" cm="1">
        <f t="array" ref="N64">IFERROR(IF(G64=G63,N63,CONCATENATE(INDEX(A64:$G$100,SMALL(IF(G64:$G$100=G64,ROW(G64:$G$100)-ROW(G64)+1,ROW($G$100)+1),6),1)," ",INDEX(A64:$G$100,SMALL(IF(G64:$G$100=G64,ROW(G64:$G$100)-ROW(G64)+1,ROW($G$100)+1),6),2))),"")</f>
        <v xml:space="preserve"> </v>
      </c>
      <c r="O64" s="1" t="str" cm="1">
        <f t="array" ref="O64">IFERROR(IF(G64=G63,O63,CONCATENATE(INDEX(A64:$G$100,SMALL(IF(G64:$G$100=G64,ROW(G64:$G$100)-ROW(G64)+1,ROW($G$100)+1),7),1)," ",INDEX(A64:$G$100,SMALL(IF(G64:$G$100=G64,ROW(G64:$G$100)-ROW(G64)+1,ROW($G$100)+1),7),2))),"")</f>
        <v xml:space="preserve"> </v>
      </c>
      <c r="P64" s="1" t="str" cm="1">
        <f t="array" ref="P64">IFERROR(IF(G64=G63,P63,CONCATENATE(INDEX(A64:$G$100,SMALL(IF(G64:$G$100=G64,ROW(G64:$G$100)-ROW(G64)+1,ROW($G$100)+1),8),1)," ",INDEX(A64:$G$100,SMALL(IF(G64:$G$100=G64,ROW(G64:$G$100)-ROW(G64)+1,ROW($G$100)+1),8),2))),"")</f>
        <v xml:space="preserve"> </v>
      </c>
      <c r="Q64" s="1" t="str" cm="1">
        <f t="array" ref="Q64">IFERROR(IF(G64=G63,Q63,CONCATENATE(INDEX(A64:$G$100,SMALL(IF(G64:$G$100=G64,ROW(G64:$G$100)-ROW(G64)+1,ROW($G$100)+1),9),1)," ",INDEX(A64:$G$100,SMALL(IF(G64:$G$100=G64,ROW(G64:$G$100)-ROW(G64)+1,ROW($G$100)+1),9),2))),"")</f>
        <v xml:space="preserve"> </v>
      </c>
      <c r="R64" s="1" t="str" cm="1">
        <f t="array" ref="R64">IFERROR(IF(G64=G63,R63,CONCATENATE(INDEX(A64:$G$100,SMALL(IF(G64:$G$100=G64,ROW(G64:$G$100)-ROW(G64)+1,ROW($G$100)+1),10),1)," ",INDEX(A64:$G$100,SMALL(IF(G64:$G$100=G64,ROW(G64:$G$100)-ROW(G64)+1,ROW($G$100)+1),10),2))),"")</f>
        <v xml:space="preserve"> </v>
      </c>
    </row>
    <row r="65" spans="1:18" s="7" customFormat="1" x14ac:dyDescent="0.2">
      <c r="A65" s="10"/>
      <c r="B65" s="10"/>
      <c r="C65" s="10"/>
      <c r="D65" s="8" t="str">
        <f t="shared" si="4"/>
        <v/>
      </c>
      <c r="E65" s="8" t="str">
        <f t="shared" si="5"/>
        <v/>
      </c>
      <c r="F65" s="8" t="str">
        <f t="shared" si="6"/>
        <v/>
      </c>
      <c r="G65" s="12"/>
      <c r="H65" s="8" t="str">
        <f t="shared" si="0"/>
        <v/>
      </c>
      <c r="I65" s="7" t="str" cm="1">
        <f t="array" ref="I65">IFERROR(IF(G65=G64,I64,CONCATENATE(INDEX(A65:$G$100,SMALL(IF(G65:$G$100=G65,ROW(G65:$G$100)-ROW(G65)+1,ROW($G$100)+1),1),1)," ",INDEX(A65:$G$100,SMALL(IF(G65:$G$100=G65,ROW(G65:$G$100)-ROW(G65)+1,ROW($G$100)+1),1),2))),"")</f>
        <v xml:space="preserve"> </v>
      </c>
      <c r="J65" s="7" t="str" cm="1">
        <f t="array" ref="J65">IFERROR(IF(G65=G64,J64,CONCATENATE(INDEX(A65:$G$100,SMALL(IF(G65:$G$100=G65,ROW(G65:$G$100)-ROW(G65)+1,ROW($G$100)+1),2),1)," ",INDEX(A65:$G$100,SMALL(IF(G65:$G$100=G65,ROW(G65:$G$100)-ROW(G65)+1,ROW($G$100)+1),2),2))),"")</f>
        <v xml:space="preserve"> </v>
      </c>
      <c r="K65" s="7" t="str" cm="1">
        <f t="array" ref="K65">IFERROR(IF(G65=G64,K64,CONCATENATE(INDEX(A65:$G$100,SMALL(IF(G65:$G$100=G65,ROW(G65:$G$100)-ROW(G65)+1,ROW($G$100)+1),3),1)," ",INDEX(A65:$G$100,SMALL(IF(G65:$G$100=G65,ROW(G65:$G$100)-ROW(G65)+1,ROW($G$100)+1),3),2))),"")</f>
        <v xml:space="preserve"> </v>
      </c>
      <c r="L65" s="7" t="str" cm="1">
        <f t="array" ref="L65">IFERROR(IF(G65=G64,L64,CONCATENATE(INDEX(A65:$G$100,SMALL(IF(G65:$G$100=G65,ROW(G65:$G$100)-ROW(G65)+1,ROW($G$100)+1),4),1)," ",INDEX(A65:$G$100,SMALL(IF(G65:$G$100=G65,ROW(G65:$G$100)-ROW(G65)+1,ROW($G$100)+1),4),2))),"")</f>
        <v xml:space="preserve"> </v>
      </c>
      <c r="M65" s="7" t="str" cm="1">
        <f t="array" ref="M65">IFERROR(IF(G65=G64,M64,CONCATENATE(INDEX(A65:$G$100,SMALL(IF(G65:$G$100=G65,ROW(G65:$G$100)-ROW(G65)+1,ROW($G$100)+1),5),1)," ",INDEX(A65:$G$100,SMALL(IF(G65:$G$100=G65,ROW(G65:$G$100)-ROW(G65)+1,ROW($G$100)+1),5),2))),"")</f>
        <v xml:space="preserve"> </v>
      </c>
      <c r="N65" s="7" t="str" cm="1">
        <f t="array" ref="N65">IFERROR(IF(G65=G64,N64,CONCATENATE(INDEX(A65:$G$100,SMALL(IF(G65:$G$100=G65,ROW(G65:$G$100)-ROW(G65)+1,ROW($G$100)+1),6),1)," ",INDEX(A65:$G$100,SMALL(IF(G65:$G$100=G65,ROW(G65:$G$100)-ROW(G65)+1,ROW($G$100)+1),6),2))),"")</f>
        <v xml:space="preserve"> </v>
      </c>
      <c r="O65" s="7" t="str" cm="1">
        <f t="array" ref="O65">IFERROR(IF(G65=G64,O64,CONCATENATE(INDEX(A65:$G$100,SMALL(IF(G65:$G$100=G65,ROW(G65:$G$100)-ROW(G65)+1,ROW($G$100)+1),7),1)," ",INDEX(A65:$G$100,SMALL(IF(G65:$G$100=G65,ROW(G65:$G$100)-ROW(G65)+1,ROW($G$100)+1),7),2))),"")</f>
        <v xml:space="preserve"> </v>
      </c>
      <c r="P65" s="7" t="str" cm="1">
        <f t="array" ref="P65">IFERROR(IF(G65=G64,P64,CONCATENATE(INDEX(A65:$G$100,SMALL(IF(G65:$G$100=G65,ROW(G65:$G$100)-ROW(G65)+1,ROW($G$100)+1),8),1)," ",INDEX(A65:$G$100,SMALL(IF(G65:$G$100=G65,ROW(G65:$G$100)-ROW(G65)+1,ROW($G$100)+1),8),2))),"")</f>
        <v xml:space="preserve"> </v>
      </c>
      <c r="Q65" s="7" t="str" cm="1">
        <f t="array" ref="Q65">IFERROR(IF(G65=G64,Q64,CONCATENATE(INDEX(A65:$G$100,SMALL(IF(G65:$G$100=G65,ROW(G65:$G$100)-ROW(G65)+1,ROW($G$100)+1),9),1)," ",INDEX(A65:$G$100,SMALL(IF(G65:$G$100=G65,ROW(G65:$G$100)-ROW(G65)+1,ROW($G$100)+1),9),2))),"")</f>
        <v xml:space="preserve"> </v>
      </c>
      <c r="R65" s="7" t="str" cm="1">
        <f t="array" ref="R65">IFERROR(IF(G65=G64,R64,CONCATENATE(INDEX(A65:$G$100,SMALL(IF(G65:$G$100=G65,ROW(G65:$G$100)-ROW(G65)+1,ROW($G$100)+1),10),1)," ",INDEX(A65:$G$100,SMALL(IF(G65:$G$100=G65,ROW(G65:$G$100)-ROW(G65)+1,ROW($G$100)+1),10),2))),"")</f>
        <v xml:space="preserve"> </v>
      </c>
    </row>
    <row r="66" spans="1:18" x14ac:dyDescent="0.2">
      <c r="A66" s="3"/>
      <c r="B66" s="3"/>
      <c r="C66" s="3"/>
      <c r="D66" s="2" t="str">
        <f t="shared" si="4"/>
        <v/>
      </c>
      <c r="E66" s="2" t="str">
        <f t="shared" si="5"/>
        <v/>
      </c>
      <c r="F66" s="2" t="str">
        <f t="shared" si="6"/>
        <v/>
      </c>
      <c r="G66" s="4"/>
      <c r="H66" s="2" t="str">
        <f t="shared" ref="H66:H100" si="7">IF(A66="","",COUNTIF($G$2:$G$100,G66))</f>
        <v/>
      </c>
      <c r="I66" s="1" t="str" cm="1">
        <f t="array" ref="I66">IFERROR(IF(G66=G65,I65,CONCATENATE(INDEX(A66:$G$100,SMALL(IF(G66:$G$100=G66,ROW(G66:$G$100)-ROW(G66)+1,ROW($G$100)+1),1),1)," ",INDEX(A66:$G$100,SMALL(IF(G66:$G$100=G66,ROW(G66:$G$100)-ROW(G66)+1,ROW($G$100)+1),1),2))),"")</f>
        <v xml:space="preserve"> </v>
      </c>
      <c r="J66" s="1" t="str" cm="1">
        <f t="array" ref="J66">IFERROR(IF(G66=G65,J65,CONCATENATE(INDEX(A66:$G$100,SMALL(IF(G66:$G$100=G66,ROW(G66:$G$100)-ROW(G66)+1,ROW($G$100)+1),2),1)," ",INDEX(A66:$G$100,SMALL(IF(G66:$G$100=G66,ROW(G66:$G$100)-ROW(G66)+1,ROW($G$100)+1),2),2))),"")</f>
        <v xml:space="preserve"> </v>
      </c>
      <c r="K66" s="1" t="str" cm="1">
        <f t="array" ref="K66">IFERROR(IF(G66=G65,K65,CONCATENATE(INDEX(A66:$G$100,SMALL(IF(G66:$G$100=G66,ROW(G66:$G$100)-ROW(G66)+1,ROW($G$100)+1),3),1)," ",INDEX(A66:$G$100,SMALL(IF(G66:$G$100=G66,ROW(G66:$G$100)-ROW(G66)+1,ROW($G$100)+1),3),2))),"")</f>
        <v xml:space="preserve"> </v>
      </c>
      <c r="L66" s="1" t="str" cm="1">
        <f t="array" ref="L66">IFERROR(IF(G66=G65,L65,CONCATENATE(INDEX(A66:$G$100,SMALL(IF(G66:$G$100=G66,ROW(G66:$G$100)-ROW(G66)+1,ROW($G$100)+1),4),1)," ",INDEX(A66:$G$100,SMALL(IF(G66:$G$100=G66,ROW(G66:$G$100)-ROW(G66)+1,ROW($G$100)+1),4),2))),"")</f>
        <v xml:space="preserve"> </v>
      </c>
      <c r="M66" s="1" t="str" cm="1">
        <f t="array" ref="M66">IFERROR(IF(G66=G65,M65,CONCATENATE(INDEX(A66:$G$100,SMALL(IF(G66:$G$100=G66,ROW(G66:$G$100)-ROW(G66)+1,ROW($G$100)+1),5),1)," ",INDEX(A66:$G$100,SMALL(IF(G66:$G$100=G66,ROW(G66:$G$100)-ROW(G66)+1,ROW($G$100)+1),5),2))),"")</f>
        <v xml:space="preserve"> </v>
      </c>
      <c r="N66" s="1" t="str" cm="1">
        <f t="array" ref="N66">IFERROR(IF(G66=G65,N65,CONCATENATE(INDEX(A66:$G$100,SMALL(IF(G66:$G$100=G66,ROW(G66:$G$100)-ROW(G66)+1,ROW($G$100)+1),6),1)," ",INDEX(A66:$G$100,SMALL(IF(G66:$G$100=G66,ROW(G66:$G$100)-ROW(G66)+1,ROW($G$100)+1),6),2))),"")</f>
        <v xml:space="preserve"> </v>
      </c>
      <c r="O66" s="1" t="str" cm="1">
        <f t="array" ref="O66">IFERROR(IF(G66=G65,O65,CONCATENATE(INDEX(A66:$G$100,SMALL(IF(G66:$G$100=G66,ROW(G66:$G$100)-ROW(G66)+1,ROW($G$100)+1),7),1)," ",INDEX(A66:$G$100,SMALL(IF(G66:$G$100=G66,ROW(G66:$G$100)-ROW(G66)+1,ROW($G$100)+1),7),2))),"")</f>
        <v xml:space="preserve"> </v>
      </c>
      <c r="P66" s="1" t="str" cm="1">
        <f t="array" ref="P66">IFERROR(IF(G66=G65,P65,CONCATENATE(INDEX(A66:$G$100,SMALL(IF(G66:$G$100=G66,ROW(G66:$G$100)-ROW(G66)+1,ROW($G$100)+1),8),1)," ",INDEX(A66:$G$100,SMALL(IF(G66:$G$100=G66,ROW(G66:$G$100)-ROW(G66)+1,ROW($G$100)+1),8),2))),"")</f>
        <v xml:space="preserve"> </v>
      </c>
      <c r="Q66" s="1" t="str" cm="1">
        <f t="array" ref="Q66">IFERROR(IF(G66=G65,Q65,CONCATENATE(INDEX(A66:$G$100,SMALL(IF(G66:$G$100=G66,ROW(G66:$G$100)-ROW(G66)+1,ROW($G$100)+1),9),1)," ",INDEX(A66:$G$100,SMALL(IF(G66:$G$100=G66,ROW(G66:$G$100)-ROW(G66)+1,ROW($G$100)+1),9),2))),"")</f>
        <v xml:space="preserve"> </v>
      </c>
      <c r="R66" s="1" t="str" cm="1">
        <f t="array" ref="R66">IFERROR(IF(G66=G65,R65,CONCATENATE(INDEX(A66:$G$100,SMALL(IF(G66:$G$100=G66,ROW(G66:$G$100)-ROW(G66)+1,ROW($G$100)+1),10),1)," ",INDEX(A66:$G$100,SMALL(IF(G66:$G$100=G66,ROW(G66:$G$100)-ROW(G66)+1,ROW($G$100)+1),10),2))),"")</f>
        <v xml:space="preserve"> </v>
      </c>
    </row>
    <row r="67" spans="1:18" s="7" customFormat="1" x14ac:dyDescent="0.2">
      <c r="A67" s="10"/>
      <c r="B67" s="10"/>
      <c r="C67" s="10"/>
      <c r="D67" s="8" t="str">
        <f t="shared" ref="D67:D100" si="8">IF(A67="","",1+D66)</f>
        <v/>
      </c>
      <c r="E67" s="8" t="str">
        <f t="shared" ref="E67:E100" si="9">IF(A67="","",$E$2)</f>
        <v/>
      </c>
      <c r="F67" s="8" t="str">
        <f t="shared" ref="F67:F100" si="10">IF(A67="","",$F$2)</f>
        <v/>
      </c>
      <c r="G67" s="12"/>
      <c r="H67" s="8" t="str">
        <f t="shared" si="7"/>
        <v/>
      </c>
      <c r="I67" s="7" t="str" cm="1">
        <f t="array" ref="I67">IFERROR(IF(G67=G66,I66,CONCATENATE(INDEX(A67:$G$100,SMALL(IF(G67:$G$100=G67,ROW(G67:$G$100)-ROW(G67)+1,ROW($G$100)+1),1),1)," ",INDEX(A67:$G$100,SMALL(IF(G67:$G$100=G67,ROW(G67:$G$100)-ROW(G67)+1,ROW($G$100)+1),1),2))),"")</f>
        <v xml:space="preserve"> </v>
      </c>
      <c r="J67" s="7" t="str" cm="1">
        <f t="array" ref="J67">IFERROR(IF(G67=G66,J66,CONCATENATE(INDEX(A67:$G$100,SMALL(IF(G67:$G$100=G67,ROW(G67:$G$100)-ROW(G67)+1,ROW($G$100)+1),2),1)," ",INDEX(A67:$G$100,SMALL(IF(G67:$G$100=G67,ROW(G67:$G$100)-ROW(G67)+1,ROW($G$100)+1),2),2))),"")</f>
        <v xml:space="preserve"> </v>
      </c>
      <c r="K67" s="7" t="str" cm="1">
        <f t="array" ref="K67">IFERROR(IF(G67=G66,K66,CONCATENATE(INDEX(A67:$G$100,SMALL(IF(G67:$G$100=G67,ROW(G67:$G$100)-ROW(G67)+1,ROW($G$100)+1),3),1)," ",INDEX(A67:$G$100,SMALL(IF(G67:$G$100=G67,ROW(G67:$G$100)-ROW(G67)+1,ROW($G$100)+1),3),2))),"")</f>
        <v xml:space="preserve"> </v>
      </c>
      <c r="L67" s="7" t="str" cm="1">
        <f t="array" ref="L67">IFERROR(IF(G67=G66,L66,CONCATENATE(INDEX(A67:$G$100,SMALL(IF(G67:$G$100=G67,ROW(G67:$G$100)-ROW(G67)+1,ROW($G$100)+1),4),1)," ",INDEX(A67:$G$100,SMALL(IF(G67:$G$100=G67,ROW(G67:$G$100)-ROW(G67)+1,ROW($G$100)+1),4),2))),"")</f>
        <v xml:space="preserve"> </v>
      </c>
      <c r="M67" s="7" t="str" cm="1">
        <f t="array" ref="M67">IFERROR(IF(G67=G66,M66,CONCATENATE(INDEX(A67:$G$100,SMALL(IF(G67:$G$100=G67,ROW(G67:$G$100)-ROW(G67)+1,ROW($G$100)+1),5),1)," ",INDEX(A67:$G$100,SMALL(IF(G67:$G$100=G67,ROW(G67:$G$100)-ROW(G67)+1,ROW($G$100)+1),5),2))),"")</f>
        <v xml:space="preserve"> </v>
      </c>
      <c r="N67" s="7" t="str" cm="1">
        <f t="array" ref="N67">IFERROR(IF(G67=G66,N66,CONCATENATE(INDEX(A67:$G$100,SMALL(IF(G67:$G$100=G67,ROW(G67:$G$100)-ROW(G67)+1,ROW($G$100)+1),6),1)," ",INDEX(A67:$G$100,SMALL(IF(G67:$G$100=G67,ROW(G67:$G$100)-ROW(G67)+1,ROW($G$100)+1),6),2))),"")</f>
        <v xml:space="preserve"> </v>
      </c>
      <c r="O67" s="7" t="str" cm="1">
        <f t="array" ref="O67">IFERROR(IF(G67=G66,O66,CONCATENATE(INDEX(A67:$G$100,SMALL(IF(G67:$G$100=G67,ROW(G67:$G$100)-ROW(G67)+1,ROW($G$100)+1),7),1)," ",INDEX(A67:$G$100,SMALL(IF(G67:$G$100=G67,ROW(G67:$G$100)-ROW(G67)+1,ROW($G$100)+1),7),2))),"")</f>
        <v xml:space="preserve"> </v>
      </c>
      <c r="P67" s="7" t="str" cm="1">
        <f t="array" ref="P67">IFERROR(IF(G67=G66,P66,CONCATENATE(INDEX(A67:$G$100,SMALL(IF(G67:$G$100=G67,ROW(G67:$G$100)-ROW(G67)+1,ROW($G$100)+1),8),1)," ",INDEX(A67:$G$100,SMALL(IF(G67:$G$100=G67,ROW(G67:$G$100)-ROW(G67)+1,ROW($G$100)+1),8),2))),"")</f>
        <v xml:space="preserve"> </v>
      </c>
      <c r="Q67" s="7" t="str" cm="1">
        <f t="array" ref="Q67">IFERROR(IF(G67=G66,Q66,CONCATENATE(INDEX(A67:$G$100,SMALL(IF(G67:$G$100=G67,ROW(G67:$G$100)-ROW(G67)+1,ROW($G$100)+1),9),1)," ",INDEX(A67:$G$100,SMALL(IF(G67:$G$100=G67,ROW(G67:$G$100)-ROW(G67)+1,ROW($G$100)+1),9),2))),"")</f>
        <v xml:space="preserve"> </v>
      </c>
      <c r="R67" s="7" t="str" cm="1">
        <f t="array" ref="R67">IFERROR(IF(G67=G66,R66,CONCATENATE(INDEX(A67:$G$100,SMALL(IF(G67:$G$100=G67,ROW(G67:$G$100)-ROW(G67)+1,ROW($G$100)+1),10),1)," ",INDEX(A67:$G$100,SMALL(IF(G67:$G$100=G67,ROW(G67:$G$100)-ROW(G67)+1,ROW($G$100)+1),10),2))),"")</f>
        <v xml:space="preserve"> </v>
      </c>
    </row>
    <row r="68" spans="1:18" x14ac:dyDescent="0.2">
      <c r="A68" s="3"/>
      <c r="B68" s="3"/>
      <c r="C68" s="3"/>
      <c r="D68" s="2" t="str">
        <f t="shared" si="8"/>
        <v/>
      </c>
      <c r="E68" s="2" t="str">
        <f t="shared" si="9"/>
        <v/>
      </c>
      <c r="F68" s="2" t="str">
        <f t="shared" si="10"/>
        <v/>
      </c>
      <c r="G68" s="4"/>
      <c r="H68" s="2" t="str">
        <f t="shared" si="7"/>
        <v/>
      </c>
      <c r="I68" s="1" t="str" cm="1">
        <f t="array" ref="I68">IFERROR(IF(G68=G67,I67,CONCATENATE(INDEX(A68:$G$100,SMALL(IF(G68:$G$100=G68,ROW(G68:$G$100)-ROW(G68)+1,ROW($G$100)+1),1),1)," ",INDEX(A68:$G$100,SMALL(IF(G68:$G$100=G68,ROW(G68:$G$100)-ROW(G68)+1,ROW($G$100)+1),1),2))),"")</f>
        <v xml:space="preserve"> </v>
      </c>
      <c r="J68" s="1" t="str" cm="1">
        <f t="array" ref="J68">IFERROR(IF(G68=G67,J67,CONCATENATE(INDEX(A68:$G$100,SMALL(IF(G68:$G$100=G68,ROW(G68:$G$100)-ROW(G68)+1,ROW($G$100)+1),2),1)," ",INDEX(A68:$G$100,SMALL(IF(G68:$G$100=G68,ROW(G68:$G$100)-ROW(G68)+1,ROW($G$100)+1),2),2))),"")</f>
        <v xml:space="preserve"> </v>
      </c>
      <c r="K68" s="1" t="str" cm="1">
        <f t="array" ref="K68">IFERROR(IF(G68=G67,K67,CONCATENATE(INDEX(A68:$G$100,SMALL(IF(G68:$G$100=G68,ROW(G68:$G$100)-ROW(G68)+1,ROW($G$100)+1),3),1)," ",INDEX(A68:$G$100,SMALL(IF(G68:$G$100=G68,ROW(G68:$G$100)-ROW(G68)+1,ROW($G$100)+1),3),2))),"")</f>
        <v xml:space="preserve"> </v>
      </c>
      <c r="L68" s="1" t="str" cm="1">
        <f t="array" ref="L68">IFERROR(IF(G68=G67,L67,CONCATENATE(INDEX(A68:$G$100,SMALL(IF(G68:$G$100=G68,ROW(G68:$G$100)-ROW(G68)+1,ROW($G$100)+1),4),1)," ",INDEX(A68:$G$100,SMALL(IF(G68:$G$100=G68,ROW(G68:$G$100)-ROW(G68)+1,ROW($G$100)+1),4),2))),"")</f>
        <v xml:space="preserve"> </v>
      </c>
      <c r="M68" s="1" t="str" cm="1">
        <f t="array" ref="M68">IFERROR(IF(G68=G67,M67,CONCATENATE(INDEX(A68:$G$100,SMALL(IF(G68:$G$100=G68,ROW(G68:$G$100)-ROW(G68)+1,ROW($G$100)+1),5),1)," ",INDEX(A68:$G$100,SMALL(IF(G68:$G$100=G68,ROW(G68:$G$100)-ROW(G68)+1,ROW($G$100)+1),5),2))),"")</f>
        <v xml:space="preserve"> </v>
      </c>
      <c r="N68" s="1" t="str" cm="1">
        <f t="array" ref="N68">IFERROR(IF(G68=G67,N67,CONCATENATE(INDEX(A68:$G$100,SMALL(IF(G68:$G$100=G68,ROW(G68:$G$100)-ROW(G68)+1,ROW($G$100)+1),6),1)," ",INDEX(A68:$G$100,SMALL(IF(G68:$G$100=G68,ROW(G68:$G$100)-ROW(G68)+1,ROW($G$100)+1),6),2))),"")</f>
        <v xml:space="preserve"> </v>
      </c>
      <c r="O68" s="1" t="str" cm="1">
        <f t="array" ref="O68">IFERROR(IF(G68=G67,O67,CONCATENATE(INDEX(A68:$G$100,SMALL(IF(G68:$G$100=G68,ROW(G68:$G$100)-ROW(G68)+1,ROW($G$100)+1),7),1)," ",INDEX(A68:$G$100,SMALL(IF(G68:$G$100=G68,ROW(G68:$G$100)-ROW(G68)+1,ROW($G$100)+1),7),2))),"")</f>
        <v xml:space="preserve"> </v>
      </c>
      <c r="P68" s="1" t="str" cm="1">
        <f t="array" ref="P68">IFERROR(IF(G68=G67,P67,CONCATENATE(INDEX(A68:$G$100,SMALL(IF(G68:$G$100=G68,ROW(G68:$G$100)-ROW(G68)+1,ROW($G$100)+1),8),1)," ",INDEX(A68:$G$100,SMALL(IF(G68:$G$100=G68,ROW(G68:$G$100)-ROW(G68)+1,ROW($G$100)+1),8),2))),"")</f>
        <v xml:space="preserve"> </v>
      </c>
      <c r="Q68" s="1" t="str" cm="1">
        <f t="array" ref="Q68">IFERROR(IF(G68=G67,Q67,CONCATENATE(INDEX(A68:$G$100,SMALL(IF(G68:$G$100=G68,ROW(G68:$G$100)-ROW(G68)+1,ROW($G$100)+1),9),1)," ",INDEX(A68:$G$100,SMALL(IF(G68:$G$100=G68,ROW(G68:$G$100)-ROW(G68)+1,ROW($G$100)+1),9),2))),"")</f>
        <v xml:space="preserve"> </v>
      </c>
      <c r="R68" s="1" t="str" cm="1">
        <f t="array" ref="R68">IFERROR(IF(G68=G67,R67,CONCATENATE(INDEX(A68:$G$100,SMALL(IF(G68:$G$100=G68,ROW(G68:$G$100)-ROW(G68)+1,ROW($G$100)+1),10),1)," ",INDEX(A68:$G$100,SMALL(IF(G68:$G$100=G68,ROW(G68:$G$100)-ROW(G68)+1,ROW($G$100)+1),10),2))),"")</f>
        <v xml:space="preserve"> </v>
      </c>
    </row>
    <row r="69" spans="1:18" s="7" customFormat="1" x14ac:dyDescent="0.2">
      <c r="A69" s="10"/>
      <c r="B69" s="10"/>
      <c r="C69" s="10"/>
      <c r="D69" s="8" t="str">
        <f t="shared" si="8"/>
        <v/>
      </c>
      <c r="E69" s="8" t="str">
        <f t="shared" si="9"/>
        <v/>
      </c>
      <c r="F69" s="8" t="str">
        <f t="shared" si="10"/>
        <v/>
      </c>
      <c r="G69" s="12"/>
      <c r="H69" s="8" t="str">
        <f t="shared" si="7"/>
        <v/>
      </c>
      <c r="I69" s="7" t="str" cm="1">
        <f t="array" ref="I69">IFERROR(IF(G69=G68,I68,CONCATENATE(INDEX(A69:$G$100,SMALL(IF(G69:$G$100=G69,ROW(G69:$G$100)-ROW(G69)+1,ROW($G$100)+1),1),1)," ",INDEX(A69:$G$100,SMALL(IF(G69:$G$100=G69,ROW(G69:$G$100)-ROW(G69)+1,ROW($G$100)+1),1),2))),"")</f>
        <v xml:space="preserve"> </v>
      </c>
      <c r="J69" s="7" t="str" cm="1">
        <f t="array" ref="J69">IFERROR(IF(G69=G68,J68,CONCATENATE(INDEX(A69:$G$100,SMALL(IF(G69:$G$100=G69,ROW(G69:$G$100)-ROW(G69)+1,ROW($G$100)+1),2),1)," ",INDEX(A69:$G$100,SMALL(IF(G69:$G$100=G69,ROW(G69:$G$100)-ROW(G69)+1,ROW($G$100)+1),2),2))),"")</f>
        <v xml:space="preserve"> </v>
      </c>
      <c r="K69" s="7" t="str" cm="1">
        <f t="array" ref="K69">IFERROR(IF(G69=G68,K68,CONCATENATE(INDEX(A69:$G$100,SMALL(IF(G69:$G$100=G69,ROW(G69:$G$100)-ROW(G69)+1,ROW($G$100)+1),3),1)," ",INDEX(A69:$G$100,SMALL(IF(G69:$G$100=G69,ROW(G69:$G$100)-ROW(G69)+1,ROW($G$100)+1),3),2))),"")</f>
        <v xml:space="preserve"> </v>
      </c>
      <c r="L69" s="7" t="str" cm="1">
        <f t="array" ref="L69">IFERROR(IF(G69=G68,L68,CONCATENATE(INDEX(A69:$G$100,SMALL(IF(G69:$G$100=G69,ROW(G69:$G$100)-ROW(G69)+1,ROW($G$100)+1),4),1)," ",INDEX(A69:$G$100,SMALL(IF(G69:$G$100=G69,ROW(G69:$G$100)-ROW(G69)+1,ROW($G$100)+1),4),2))),"")</f>
        <v xml:space="preserve"> </v>
      </c>
      <c r="M69" s="7" t="str" cm="1">
        <f t="array" ref="M69">IFERROR(IF(G69=G68,M68,CONCATENATE(INDEX(A69:$G$100,SMALL(IF(G69:$G$100=G69,ROW(G69:$G$100)-ROW(G69)+1,ROW($G$100)+1),5),1)," ",INDEX(A69:$G$100,SMALL(IF(G69:$G$100=G69,ROW(G69:$G$100)-ROW(G69)+1,ROW($G$100)+1),5),2))),"")</f>
        <v xml:space="preserve"> </v>
      </c>
      <c r="N69" s="7" t="str" cm="1">
        <f t="array" ref="N69">IFERROR(IF(G69=G68,N68,CONCATENATE(INDEX(A69:$G$100,SMALL(IF(G69:$G$100=G69,ROW(G69:$G$100)-ROW(G69)+1,ROW($G$100)+1),6),1)," ",INDEX(A69:$G$100,SMALL(IF(G69:$G$100=G69,ROW(G69:$G$100)-ROW(G69)+1,ROW($G$100)+1),6),2))),"")</f>
        <v xml:space="preserve"> </v>
      </c>
      <c r="O69" s="7" t="str" cm="1">
        <f t="array" ref="O69">IFERROR(IF(G69=G68,O68,CONCATENATE(INDEX(A69:$G$100,SMALL(IF(G69:$G$100=G69,ROW(G69:$G$100)-ROW(G69)+1,ROW($G$100)+1),7),1)," ",INDEX(A69:$G$100,SMALL(IF(G69:$G$100=G69,ROW(G69:$G$100)-ROW(G69)+1,ROW($G$100)+1),7),2))),"")</f>
        <v xml:space="preserve"> </v>
      </c>
      <c r="P69" s="7" t="str" cm="1">
        <f t="array" ref="P69">IFERROR(IF(G69=G68,P68,CONCATENATE(INDEX(A69:$G$100,SMALL(IF(G69:$G$100=G69,ROW(G69:$G$100)-ROW(G69)+1,ROW($G$100)+1),8),1)," ",INDEX(A69:$G$100,SMALL(IF(G69:$G$100=G69,ROW(G69:$G$100)-ROW(G69)+1,ROW($G$100)+1),8),2))),"")</f>
        <v xml:space="preserve"> </v>
      </c>
      <c r="Q69" s="7" t="str" cm="1">
        <f t="array" ref="Q69">IFERROR(IF(G69=G68,Q68,CONCATENATE(INDEX(A69:$G$100,SMALL(IF(G69:$G$100=G69,ROW(G69:$G$100)-ROW(G69)+1,ROW($G$100)+1),9),1)," ",INDEX(A69:$G$100,SMALL(IF(G69:$G$100=G69,ROW(G69:$G$100)-ROW(G69)+1,ROW($G$100)+1),9),2))),"")</f>
        <v xml:space="preserve"> </v>
      </c>
      <c r="R69" s="7" t="str" cm="1">
        <f t="array" ref="R69">IFERROR(IF(G69=G68,R68,CONCATENATE(INDEX(A69:$G$100,SMALL(IF(G69:$G$100=G69,ROW(G69:$G$100)-ROW(G69)+1,ROW($G$100)+1),10),1)," ",INDEX(A69:$G$100,SMALL(IF(G69:$G$100=G69,ROW(G69:$G$100)-ROW(G69)+1,ROW($G$100)+1),10),2))),"")</f>
        <v xml:space="preserve"> </v>
      </c>
    </row>
    <row r="70" spans="1:18" x14ac:dyDescent="0.2">
      <c r="A70" s="3"/>
      <c r="B70" s="3"/>
      <c r="C70" s="3"/>
      <c r="D70" s="2" t="str">
        <f t="shared" si="8"/>
        <v/>
      </c>
      <c r="E70" s="2" t="str">
        <f t="shared" si="9"/>
        <v/>
      </c>
      <c r="F70" s="2" t="str">
        <f t="shared" si="10"/>
        <v/>
      </c>
      <c r="G70" s="4"/>
      <c r="H70" s="2" t="str">
        <f t="shared" si="7"/>
        <v/>
      </c>
      <c r="I70" s="1" t="str" cm="1">
        <f t="array" ref="I70">IFERROR(IF(G70=G69,I69,CONCATENATE(INDEX(A70:$G$100,SMALL(IF(G70:$G$100=G70,ROW(G70:$G$100)-ROW(G70)+1,ROW($G$100)+1),1),1)," ",INDEX(A70:$G$100,SMALL(IF(G70:$G$100=G70,ROW(G70:$G$100)-ROW(G70)+1,ROW($G$100)+1),1),2))),"")</f>
        <v xml:space="preserve"> </v>
      </c>
      <c r="J70" s="1" t="str" cm="1">
        <f t="array" ref="J70">IFERROR(IF(G70=G69,J69,CONCATENATE(INDEX(A70:$G$100,SMALL(IF(G70:$G$100=G70,ROW(G70:$G$100)-ROW(G70)+1,ROW($G$100)+1),2),1)," ",INDEX(A70:$G$100,SMALL(IF(G70:$G$100=G70,ROW(G70:$G$100)-ROW(G70)+1,ROW($G$100)+1),2),2))),"")</f>
        <v xml:space="preserve"> </v>
      </c>
      <c r="K70" s="1" t="str" cm="1">
        <f t="array" ref="K70">IFERROR(IF(G70=G69,K69,CONCATENATE(INDEX(A70:$G$100,SMALL(IF(G70:$G$100=G70,ROW(G70:$G$100)-ROW(G70)+1,ROW($G$100)+1),3),1)," ",INDEX(A70:$G$100,SMALL(IF(G70:$G$100=G70,ROW(G70:$G$100)-ROW(G70)+1,ROW($G$100)+1),3),2))),"")</f>
        <v xml:space="preserve"> </v>
      </c>
      <c r="L70" s="1" t="str" cm="1">
        <f t="array" ref="L70">IFERROR(IF(G70=G69,L69,CONCATENATE(INDEX(A70:$G$100,SMALL(IF(G70:$G$100=G70,ROW(G70:$G$100)-ROW(G70)+1,ROW($G$100)+1),4),1)," ",INDEX(A70:$G$100,SMALL(IF(G70:$G$100=G70,ROW(G70:$G$100)-ROW(G70)+1,ROW($G$100)+1),4),2))),"")</f>
        <v xml:space="preserve"> </v>
      </c>
      <c r="M70" s="1" t="str" cm="1">
        <f t="array" ref="M70">IFERROR(IF(G70=G69,M69,CONCATENATE(INDEX(A70:$G$100,SMALL(IF(G70:$G$100=G70,ROW(G70:$G$100)-ROW(G70)+1,ROW($G$100)+1),5),1)," ",INDEX(A70:$G$100,SMALL(IF(G70:$G$100=G70,ROW(G70:$G$100)-ROW(G70)+1,ROW($G$100)+1),5),2))),"")</f>
        <v xml:space="preserve"> </v>
      </c>
      <c r="N70" s="1" t="str" cm="1">
        <f t="array" ref="N70">IFERROR(IF(G70=G69,N69,CONCATENATE(INDEX(A70:$G$100,SMALL(IF(G70:$G$100=G70,ROW(G70:$G$100)-ROW(G70)+1,ROW($G$100)+1),6),1)," ",INDEX(A70:$G$100,SMALL(IF(G70:$G$100=G70,ROW(G70:$G$100)-ROW(G70)+1,ROW($G$100)+1),6),2))),"")</f>
        <v xml:space="preserve"> </v>
      </c>
      <c r="O70" s="1" t="str" cm="1">
        <f t="array" ref="O70">IFERROR(IF(G70=G69,O69,CONCATENATE(INDEX(A70:$G$100,SMALL(IF(G70:$G$100=G70,ROW(G70:$G$100)-ROW(G70)+1,ROW($G$100)+1),7),1)," ",INDEX(A70:$G$100,SMALL(IF(G70:$G$100=G70,ROW(G70:$G$100)-ROW(G70)+1,ROW($G$100)+1),7),2))),"")</f>
        <v xml:space="preserve"> </v>
      </c>
      <c r="P70" s="1" t="str" cm="1">
        <f t="array" ref="P70">IFERROR(IF(G70=G69,P69,CONCATENATE(INDEX(A70:$G$100,SMALL(IF(G70:$G$100=G70,ROW(G70:$G$100)-ROW(G70)+1,ROW($G$100)+1),8),1)," ",INDEX(A70:$G$100,SMALL(IF(G70:$G$100=G70,ROW(G70:$G$100)-ROW(G70)+1,ROW($G$100)+1),8),2))),"")</f>
        <v xml:space="preserve"> </v>
      </c>
      <c r="Q70" s="1" t="str" cm="1">
        <f t="array" ref="Q70">IFERROR(IF(G70=G69,Q69,CONCATENATE(INDEX(A70:$G$100,SMALL(IF(G70:$G$100=G70,ROW(G70:$G$100)-ROW(G70)+1,ROW($G$100)+1),9),1)," ",INDEX(A70:$G$100,SMALL(IF(G70:$G$100=G70,ROW(G70:$G$100)-ROW(G70)+1,ROW($G$100)+1),9),2))),"")</f>
        <v xml:space="preserve"> </v>
      </c>
      <c r="R70" s="1" t="str" cm="1">
        <f t="array" ref="R70">IFERROR(IF(G70=G69,R69,CONCATENATE(INDEX(A70:$G$100,SMALL(IF(G70:$G$100=G70,ROW(G70:$G$100)-ROW(G70)+1,ROW($G$100)+1),10),1)," ",INDEX(A70:$G$100,SMALL(IF(G70:$G$100=G70,ROW(G70:$G$100)-ROW(G70)+1,ROW($G$100)+1),10),2))),"")</f>
        <v xml:space="preserve"> </v>
      </c>
    </row>
    <row r="71" spans="1:18" s="7" customFormat="1" x14ac:dyDescent="0.2">
      <c r="A71" s="10"/>
      <c r="B71" s="10"/>
      <c r="C71" s="10"/>
      <c r="D71" s="8" t="str">
        <f t="shared" si="8"/>
        <v/>
      </c>
      <c r="E71" s="8" t="str">
        <f t="shared" si="9"/>
        <v/>
      </c>
      <c r="F71" s="8" t="str">
        <f t="shared" si="10"/>
        <v/>
      </c>
      <c r="G71" s="12"/>
      <c r="H71" s="8" t="str">
        <f t="shared" si="7"/>
        <v/>
      </c>
      <c r="I71" s="7" t="str" cm="1">
        <f t="array" ref="I71">IFERROR(IF(G71=G70,I70,CONCATENATE(INDEX(A71:$G$100,SMALL(IF(G71:$G$100=G71,ROW(G71:$G$100)-ROW(G71)+1,ROW($G$100)+1),1),1)," ",INDEX(A71:$G$100,SMALL(IF(G71:$G$100=G71,ROW(G71:$G$100)-ROW(G71)+1,ROW($G$100)+1),1),2))),"")</f>
        <v xml:space="preserve"> </v>
      </c>
      <c r="J71" s="7" t="str" cm="1">
        <f t="array" ref="J71">IFERROR(IF(G71=G70,J70,CONCATENATE(INDEX(A71:$G$100,SMALL(IF(G71:$G$100=G71,ROW(G71:$G$100)-ROW(G71)+1,ROW($G$100)+1),2),1)," ",INDEX(A71:$G$100,SMALL(IF(G71:$G$100=G71,ROW(G71:$G$100)-ROW(G71)+1,ROW($G$100)+1),2),2))),"")</f>
        <v xml:space="preserve"> </v>
      </c>
      <c r="K71" s="7" t="str" cm="1">
        <f t="array" ref="K71">IFERROR(IF(G71=G70,K70,CONCATENATE(INDEX(A71:$G$100,SMALL(IF(G71:$G$100=G71,ROW(G71:$G$100)-ROW(G71)+1,ROW($G$100)+1),3),1)," ",INDEX(A71:$G$100,SMALL(IF(G71:$G$100=G71,ROW(G71:$G$100)-ROW(G71)+1,ROW($G$100)+1),3),2))),"")</f>
        <v xml:space="preserve"> </v>
      </c>
      <c r="L71" s="7" t="str" cm="1">
        <f t="array" ref="L71">IFERROR(IF(G71=G70,L70,CONCATENATE(INDEX(A71:$G$100,SMALL(IF(G71:$G$100=G71,ROW(G71:$G$100)-ROW(G71)+1,ROW($G$100)+1),4),1)," ",INDEX(A71:$G$100,SMALL(IF(G71:$G$100=G71,ROW(G71:$G$100)-ROW(G71)+1,ROW($G$100)+1),4),2))),"")</f>
        <v xml:space="preserve"> </v>
      </c>
      <c r="M71" s="7" t="str" cm="1">
        <f t="array" ref="M71">IFERROR(IF(G71=G70,M70,CONCATENATE(INDEX(A71:$G$100,SMALL(IF(G71:$G$100=G71,ROW(G71:$G$100)-ROW(G71)+1,ROW($G$100)+1),5),1)," ",INDEX(A71:$G$100,SMALL(IF(G71:$G$100=G71,ROW(G71:$G$100)-ROW(G71)+1,ROW($G$100)+1),5),2))),"")</f>
        <v xml:space="preserve"> </v>
      </c>
      <c r="N71" s="7" t="str" cm="1">
        <f t="array" ref="N71">IFERROR(IF(G71=G70,N70,CONCATENATE(INDEX(A71:$G$100,SMALL(IF(G71:$G$100=G71,ROW(G71:$G$100)-ROW(G71)+1,ROW($G$100)+1),6),1)," ",INDEX(A71:$G$100,SMALL(IF(G71:$G$100=G71,ROW(G71:$G$100)-ROW(G71)+1,ROW($G$100)+1),6),2))),"")</f>
        <v xml:space="preserve"> </v>
      </c>
      <c r="O71" s="7" t="str" cm="1">
        <f t="array" ref="O71">IFERROR(IF(G71=G70,O70,CONCATENATE(INDEX(A71:$G$100,SMALL(IF(G71:$G$100=G71,ROW(G71:$G$100)-ROW(G71)+1,ROW($G$100)+1),7),1)," ",INDEX(A71:$G$100,SMALL(IF(G71:$G$100=G71,ROW(G71:$G$100)-ROW(G71)+1,ROW($G$100)+1),7),2))),"")</f>
        <v xml:space="preserve"> </v>
      </c>
      <c r="P71" s="7" t="str" cm="1">
        <f t="array" ref="P71">IFERROR(IF(G71=G70,P70,CONCATENATE(INDEX(A71:$G$100,SMALL(IF(G71:$G$100=G71,ROW(G71:$G$100)-ROW(G71)+1,ROW($G$100)+1),8),1)," ",INDEX(A71:$G$100,SMALL(IF(G71:$G$100=G71,ROW(G71:$G$100)-ROW(G71)+1,ROW($G$100)+1),8),2))),"")</f>
        <v xml:space="preserve"> </v>
      </c>
      <c r="Q71" s="7" t="str" cm="1">
        <f t="array" ref="Q71">IFERROR(IF(G71=G70,Q70,CONCATENATE(INDEX(A71:$G$100,SMALL(IF(G71:$G$100=G71,ROW(G71:$G$100)-ROW(G71)+1,ROW($G$100)+1),9),1)," ",INDEX(A71:$G$100,SMALL(IF(G71:$G$100=G71,ROW(G71:$G$100)-ROW(G71)+1,ROW($G$100)+1),9),2))),"")</f>
        <v xml:space="preserve"> </v>
      </c>
      <c r="R71" s="7" t="str" cm="1">
        <f t="array" ref="R71">IFERROR(IF(G71=G70,R70,CONCATENATE(INDEX(A71:$G$100,SMALL(IF(G71:$G$100=G71,ROW(G71:$G$100)-ROW(G71)+1,ROW($G$100)+1),10),1)," ",INDEX(A71:$G$100,SMALL(IF(G71:$G$100=G71,ROW(G71:$G$100)-ROW(G71)+1,ROW($G$100)+1),10),2))),"")</f>
        <v xml:space="preserve"> </v>
      </c>
    </row>
    <row r="72" spans="1:18" x14ac:dyDescent="0.2">
      <c r="A72" s="3"/>
      <c r="B72" s="3"/>
      <c r="C72" s="3"/>
      <c r="D72" s="2" t="str">
        <f t="shared" si="8"/>
        <v/>
      </c>
      <c r="E72" s="2" t="str">
        <f t="shared" si="9"/>
        <v/>
      </c>
      <c r="F72" s="2" t="str">
        <f t="shared" si="10"/>
        <v/>
      </c>
      <c r="G72" s="4"/>
      <c r="H72" s="2" t="str">
        <f t="shared" si="7"/>
        <v/>
      </c>
      <c r="I72" s="1" t="str" cm="1">
        <f t="array" ref="I72">IFERROR(IF(G72=G71,I71,CONCATENATE(INDEX(A72:$G$100,SMALL(IF(G72:$G$100=G72,ROW(G72:$G$100)-ROW(G72)+1,ROW($G$100)+1),1),1)," ",INDEX(A72:$G$100,SMALL(IF(G72:$G$100=G72,ROW(G72:$G$100)-ROW(G72)+1,ROW($G$100)+1),1),2))),"")</f>
        <v xml:space="preserve"> </v>
      </c>
      <c r="J72" s="1" t="str" cm="1">
        <f t="array" ref="J72">IFERROR(IF(G72=G71,J71,CONCATENATE(INDEX(A72:$G$100,SMALL(IF(G72:$G$100=G72,ROW(G72:$G$100)-ROW(G72)+1,ROW($G$100)+1),2),1)," ",INDEX(A72:$G$100,SMALL(IF(G72:$G$100=G72,ROW(G72:$G$100)-ROW(G72)+1,ROW($G$100)+1),2),2))),"")</f>
        <v xml:space="preserve"> </v>
      </c>
      <c r="K72" s="1" t="str" cm="1">
        <f t="array" ref="K72">IFERROR(IF(G72=G71,K71,CONCATENATE(INDEX(A72:$G$100,SMALL(IF(G72:$G$100=G72,ROW(G72:$G$100)-ROW(G72)+1,ROW($G$100)+1),3),1)," ",INDEX(A72:$G$100,SMALL(IF(G72:$G$100=G72,ROW(G72:$G$100)-ROW(G72)+1,ROW($G$100)+1),3),2))),"")</f>
        <v xml:space="preserve"> </v>
      </c>
      <c r="L72" s="1" t="str" cm="1">
        <f t="array" ref="L72">IFERROR(IF(G72=G71,L71,CONCATENATE(INDEX(A72:$G$100,SMALL(IF(G72:$G$100=G72,ROW(G72:$G$100)-ROW(G72)+1,ROW($G$100)+1),4),1)," ",INDEX(A72:$G$100,SMALL(IF(G72:$G$100=G72,ROW(G72:$G$100)-ROW(G72)+1,ROW($G$100)+1),4),2))),"")</f>
        <v xml:space="preserve"> </v>
      </c>
      <c r="M72" s="1" t="str" cm="1">
        <f t="array" ref="M72">IFERROR(IF(G72=G71,M71,CONCATENATE(INDEX(A72:$G$100,SMALL(IF(G72:$G$100=G72,ROW(G72:$G$100)-ROW(G72)+1,ROW($G$100)+1),5),1)," ",INDEX(A72:$G$100,SMALL(IF(G72:$G$100=G72,ROW(G72:$G$100)-ROW(G72)+1,ROW($G$100)+1),5),2))),"")</f>
        <v xml:space="preserve"> </v>
      </c>
      <c r="N72" s="1" t="str" cm="1">
        <f t="array" ref="N72">IFERROR(IF(G72=G71,N71,CONCATENATE(INDEX(A72:$G$100,SMALL(IF(G72:$G$100=G72,ROW(G72:$G$100)-ROW(G72)+1,ROW($G$100)+1),6),1)," ",INDEX(A72:$G$100,SMALL(IF(G72:$G$100=G72,ROW(G72:$G$100)-ROW(G72)+1,ROW($G$100)+1),6),2))),"")</f>
        <v xml:space="preserve"> </v>
      </c>
      <c r="O72" s="1" t="str" cm="1">
        <f t="array" ref="O72">IFERROR(IF(G72=G71,O71,CONCATENATE(INDEX(A72:$G$100,SMALL(IF(G72:$G$100=G72,ROW(G72:$G$100)-ROW(G72)+1,ROW($G$100)+1),7),1)," ",INDEX(A72:$G$100,SMALL(IF(G72:$G$100=G72,ROW(G72:$G$100)-ROW(G72)+1,ROW($G$100)+1),7),2))),"")</f>
        <v xml:space="preserve"> </v>
      </c>
      <c r="P72" s="1" t="str" cm="1">
        <f t="array" ref="P72">IFERROR(IF(G72=G71,P71,CONCATENATE(INDEX(A72:$G$100,SMALL(IF(G72:$G$100=G72,ROW(G72:$G$100)-ROW(G72)+1,ROW($G$100)+1),8),1)," ",INDEX(A72:$G$100,SMALL(IF(G72:$G$100=G72,ROW(G72:$G$100)-ROW(G72)+1,ROW($G$100)+1),8),2))),"")</f>
        <v xml:space="preserve"> </v>
      </c>
      <c r="Q72" s="1" t="str" cm="1">
        <f t="array" ref="Q72">IFERROR(IF(G72=G71,Q71,CONCATENATE(INDEX(A72:$G$100,SMALL(IF(G72:$G$100=G72,ROW(G72:$G$100)-ROW(G72)+1,ROW($G$100)+1),9),1)," ",INDEX(A72:$G$100,SMALL(IF(G72:$G$100=G72,ROW(G72:$G$100)-ROW(G72)+1,ROW($G$100)+1),9),2))),"")</f>
        <v xml:space="preserve"> </v>
      </c>
      <c r="R72" s="1" t="str" cm="1">
        <f t="array" ref="R72">IFERROR(IF(G72=G71,R71,CONCATENATE(INDEX(A72:$G$100,SMALL(IF(G72:$G$100=G72,ROW(G72:$G$100)-ROW(G72)+1,ROW($G$100)+1),10),1)," ",INDEX(A72:$G$100,SMALL(IF(G72:$G$100=G72,ROW(G72:$G$100)-ROW(G72)+1,ROW($G$100)+1),10),2))),"")</f>
        <v xml:space="preserve"> </v>
      </c>
    </row>
    <row r="73" spans="1:18" s="7" customFormat="1" x14ac:dyDescent="0.2">
      <c r="A73" s="10"/>
      <c r="B73" s="10"/>
      <c r="C73" s="10"/>
      <c r="D73" s="8" t="str">
        <f t="shared" si="8"/>
        <v/>
      </c>
      <c r="E73" s="8" t="str">
        <f t="shared" si="9"/>
        <v/>
      </c>
      <c r="F73" s="8" t="str">
        <f t="shared" si="10"/>
        <v/>
      </c>
      <c r="G73" s="12"/>
      <c r="H73" s="8" t="str">
        <f t="shared" si="7"/>
        <v/>
      </c>
      <c r="I73" s="7" t="str" cm="1">
        <f t="array" ref="I73">IFERROR(IF(G73=G72,I72,CONCATENATE(INDEX(A73:$G$100,SMALL(IF(G73:$G$100=G73,ROW(G73:$G$100)-ROW(G73)+1,ROW($G$100)+1),1),1)," ",INDEX(A73:$G$100,SMALL(IF(G73:$G$100=G73,ROW(G73:$G$100)-ROW(G73)+1,ROW($G$100)+1),1),2))),"")</f>
        <v xml:space="preserve"> </v>
      </c>
      <c r="J73" s="7" t="str" cm="1">
        <f t="array" ref="J73">IFERROR(IF(G73=G72,J72,CONCATENATE(INDEX(A73:$G$100,SMALL(IF(G73:$G$100=G73,ROW(G73:$G$100)-ROW(G73)+1,ROW($G$100)+1),2),1)," ",INDEX(A73:$G$100,SMALL(IF(G73:$G$100=G73,ROW(G73:$G$100)-ROW(G73)+1,ROW($G$100)+1),2),2))),"")</f>
        <v xml:space="preserve"> </v>
      </c>
      <c r="K73" s="7" t="str" cm="1">
        <f t="array" ref="K73">IFERROR(IF(G73=G72,K72,CONCATENATE(INDEX(A73:$G$100,SMALL(IF(G73:$G$100=G73,ROW(G73:$G$100)-ROW(G73)+1,ROW($G$100)+1),3),1)," ",INDEX(A73:$G$100,SMALL(IF(G73:$G$100=G73,ROW(G73:$G$100)-ROW(G73)+1,ROW($G$100)+1),3),2))),"")</f>
        <v xml:space="preserve"> </v>
      </c>
      <c r="L73" s="7" t="str" cm="1">
        <f t="array" ref="L73">IFERROR(IF(G73=G72,L72,CONCATENATE(INDEX(A73:$G$100,SMALL(IF(G73:$G$100=G73,ROW(G73:$G$100)-ROW(G73)+1,ROW($G$100)+1),4),1)," ",INDEX(A73:$G$100,SMALL(IF(G73:$G$100=G73,ROW(G73:$G$100)-ROW(G73)+1,ROW($G$100)+1),4),2))),"")</f>
        <v xml:space="preserve"> </v>
      </c>
      <c r="M73" s="7" t="str" cm="1">
        <f t="array" ref="M73">IFERROR(IF(G73=G72,M72,CONCATENATE(INDEX(A73:$G$100,SMALL(IF(G73:$G$100=G73,ROW(G73:$G$100)-ROW(G73)+1,ROW($G$100)+1),5),1)," ",INDEX(A73:$G$100,SMALL(IF(G73:$G$100=G73,ROW(G73:$G$100)-ROW(G73)+1,ROW($G$100)+1),5),2))),"")</f>
        <v xml:space="preserve"> </v>
      </c>
      <c r="N73" s="7" t="str" cm="1">
        <f t="array" ref="N73">IFERROR(IF(G73=G72,N72,CONCATENATE(INDEX(A73:$G$100,SMALL(IF(G73:$G$100=G73,ROW(G73:$G$100)-ROW(G73)+1,ROW($G$100)+1),6),1)," ",INDEX(A73:$G$100,SMALL(IF(G73:$G$100=G73,ROW(G73:$G$100)-ROW(G73)+1,ROW($G$100)+1),6),2))),"")</f>
        <v xml:space="preserve"> </v>
      </c>
      <c r="O73" s="7" t="str" cm="1">
        <f t="array" ref="O73">IFERROR(IF(G73=G72,O72,CONCATENATE(INDEX(A73:$G$100,SMALL(IF(G73:$G$100=G73,ROW(G73:$G$100)-ROW(G73)+1,ROW($G$100)+1),7),1)," ",INDEX(A73:$G$100,SMALL(IF(G73:$G$100=G73,ROW(G73:$G$100)-ROW(G73)+1,ROW($G$100)+1),7),2))),"")</f>
        <v xml:space="preserve"> </v>
      </c>
      <c r="P73" s="7" t="str" cm="1">
        <f t="array" ref="P73">IFERROR(IF(G73=G72,P72,CONCATENATE(INDEX(A73:$G$100,SMALL(IF(G73:$G$100=G73,ROW(G73:$G$100)-ROW(G73)+1,ROW($G$100)+1),8),1)," ",INDEX(A73:$G$100,SMALL(IF(G73:$G$100=G73,ROW(G73:$G$100)-ROW(G73)+1,ROW($G$100)+1),8),2))),"")</f>
        <v xml:space="preserve"> </v>
      </c>
      <c r="Q73" s="7" t="str" cm="1">
        <f t="array" ref="Q73">IFERROR(IF(G73=G72,Q72,CONCATENATE(INDEX(A73:$G$100,SMALL(IF(G73:$G$100=G73,ROW(G73:$G$100)-ROW(G73)+1,ROW($G$100)+1),9),1)," ",INDEX(A73:$G$100,SMALL(IF(G73:$G$100=G73,ROW(G73:$G$100)-ROW(G73)+1,ROW($G$100)+1),9),2))),"")</f>
        <v xml:space="preserve"> </v>
      </c>
      <c r="R73" s="7" t="str" cm="1">
        <f t="array" ref="R73">IFERROR(IF(G73=G72,R72,CONCATENATE(INDEX(A73:$G$100,SMALL(IF(G73:$G$100=G73,ROW(G73:$G$100)-ROW(G73)+1,ROW($G$100)+1),10),1)," ",INDEX(A73:$G$100,SMALL(IF(G73:$G$100=G73,ROW(G73:$G$100)-ROW(G73)+1,ROW($G$100)+1),10),2))),"")</f>
        <v xml:space="preserve"> </v>
      </c>
    </row>
    <row r="74" spans="1:18" x14ac:dyDescent="0.2">
      <c r="A74" s="3"/>
      <c r="B74" s="3"/>
      <c r="C74" s="3"/>
      <c r="D74" s="2" t="str">
        <f t="shared" si="8"/>
        <v/>
      </c>
      <c r="E74" s="2" t="str">
        <f t="shared" si="9"/>
        <v/>
      </c>
      <c r="F74" s="2" t="str">
        <f t="shared" si="10"/>
        <v/>
      </c>
      <c r="G74" s="4"/>
      <c r="H74" s="2" t="str">
        <f t="shared" si="7"/>
        <v/>
      </c>
      <c r="I74" s="1" t="str" cm="1">
        <f t="array" ref="I74">IFERROR(IF(G74=G73,I73,CONCATENATE(INDEX(A74:$G$100,SMALL(IF(G74:$G$100=G74,ROW(G74:$G$100)-ROW(G74)+1,ROW($G$100)+1),1),1)," ",INDEX(A74:$G$100,SMALL(IF(G74:$G$100=G74,ROW(G74:$G$100)-ROW(G74)+1,ROW($G$100)+1),1),2))),"")</f>
        <v xml:space="preserve"> </v>
      </c>
      <c r="J74" s="1" t="str" cm="1">
        <f t="array" ref="J74">IFERROR(IF(G74=G73,J73,CONCATENATE(INDEX(A74:$G$100,SMALL(IF(G74:$G$100=G74,ROW(G74:$G$100)-ROW(G74)+1,ROW($G$100)+1),2),1)," ",INDEX(A74:$G$100,SMALL(IF(G74:$G$100=G74,ROW(G74:$G$100)-ROW(G74)+1,ROW($G$100)+1),2),2))),"")</f>
        <v xml:space="preserve"> </v>
      </c>
      <c r="K74" s="1" t="str" cm="1">
        <f t="array" ref="K74">IFERROR(IF(G74=G73,K73,CONCATENATE(INDEX(A74:$G$100,SMALL(IF(G74:$G$100=G74,ROW(G74:$G$100)-ROW(G74)+1,ROW($G$100)+1),3),1)," ",INDEX(A74:$G$100,SMALL(IF(G74:$G$100=G74,ROW(G74:$G$100)-ROW(G74)+1,ROW($G$100)+1),3),2))),"")</f>
        <v xml:space="preserve"> </v>
      </c>
      <c r="L74" s="1" t="str" cm="1">
        <f t="array" ref="L74">IFERROR(IF(G74=G73,L73,CONCATENATE(INDEX(A74:$G$100,SMALL(IF(G74:$G$100=G74,ROW(G74:$G$100)-ROW(G74)+1,ROW($G$100)+1),4),1)," ",INDEX(A74:$G$100,SMALL(IF(G74:$G$100=G74,ROW(G74:$G$100)-ROW(G74)+1,ROW($G$100)+1),4),2))),"")</f>
        <v xml:space="preserve"> </v>
      </c>
      <c r="M74" s="1" t="str" cm="1">
        <f t="array" ref="M74">IFERROR(IF(G74=G73,M73,CONCATENATE(INDEX(A74:$G$100,SMALL(IF(G74:$G$100=G74,ROW(G74:$G$100)-ROW(G74)+1,ROW($G$100)+1),5),1)," ",INDEX(A74:$G$100,SMALL(IF(G74:$G$100=G74,ROW(G74:$G$100)-ROW(G74)+1,ROW($G$100)+1),5),2))),"")</f>
        <v xml:space="preserve"> </v>
      </c>
      <c r="N74" s="1" t="str" cm="1">
        <f t="array" ref="N74">IFERROR(IF(G74=G73,N73,CONCATENATE(INDEX(A74:$G$100,SMALL(IF(G74:$G$100=G74,ROW(G74:$G$100)-ROW(G74)+1,ROW($G$100)+1),6),1)," ",INDEX(A74:$G$100,SMALL(IF(G74:$G$100=G74,ROW(G74:$G$100)-ROW(G74)+1,ROW($G$100)+1),6),2))),"")</f>
        <v xml:space="preserve"> </v>
      </c>
      <c r="O74" s="1" t="str" cm="1">
        <f t="array" ref="O74">IFERROR(IF(G74=G73,O73,CONCATENATE(INDEX(A74:$G$100,SMALL(IF(G74:$G$100=G74,ROW(G74:$G$100)-ROW(G74)+1,ROW($G$100)+1),7),1)," ",INDEX(A74:$G$100,SMALL(IF(G74:$G$100=G74,ROW(G74:$G$100)-ROW(G74)+1,ROW($G$100)+1),7),2))),"")</f>
        <v xml:space="preserve"> </v>
      </c>
      <c r="P74" s="1" t="str" cm="1">
        <f t="array" ref="P74">IFERROR(IF(G74=G73,P73,CONCATENATE(INDEX(A74:$G$100,SMALL(IF(G74:$G$100=G74,ROW(G74:$G$100)-ROW(G74)+1,ROW($G$100)+1),8),1)," ",INDEX(A74:$G$100,SMALL(IF(G74:$G$100=G74,ROW(G74:$G$100)-ROW(G74)+1,ROW($G$100)+1),8),2))),"")</f>
        <v xml:space="preserve"> </v>
      </c>
      <c r="Q74" s="1" t="str" cm="1">
        <f t="array" ref="Q74">IFERROR(IF(G74=G73,Q73,CONCATENATE(INDEX(A74:$G$100,SMALL(IF(G74:$G$100=G74,ROW(G74:$G$100)-ROW(G74)+1,ROW($G$100)+1),9),1)," ",INDEX(A74:$G$100,SMALL(IF(G74:$G$100=G74,ROW(G74:$G$100)-ROW(G74)+1,ROW($G$100)+1),9),2))),"")</f>
        <v xml:space="preserve"> </v>
      </c>
      <c r="R74" s="1" t="str" cm="1">
        <f t="array" ref="R74">IFERROR(IF(G74=G73,R73,CONCATENATE(INDEX(A74:$G$100,SMALL(IF(G74:$G$100=G74,ROW(G74:$G$100)-ROW(G74)+1,ROW($G$100)+1),10),1)," ",INDEX(A74:$G$100,SMALL(IF(G74:$G$100=G74,ROW(G74:$G$100)-ROW(G74)+1,ROW($G$100)+1),10),2))),"")</f>
        <v xml:space="preserve"> </v>
      </c>
    </row>
    <row r="75" spans="1:18" s="7" customFormat="1" x14ac:dyDescent="0.2">
      <c r="A75" s="10"/>
      <c r="B75" s="10"/>
      <c r="C75" s="10"/>
      <c r="D75" s="8" t="str">
        <f t="shared" si="8"/>
        <v/>
      </c>
      <c r="E75" s="8" t="str">
        <f t="shared" si="9"/>
        <v/>
      </c>
      <c r="F75" s="8" t="str">
        <f t="shared" si="10"/>
        <v/>
      </c>
      <c r="G75" s="12"/>
      <c r="H75" s="8" t="str">
        <f t="shared" si="7"/>
        <v/>
      </c>
      <c r="I75" s="7" t="str" cm="1">
        <f t="array" ref="I75">IFERROR(IF(G75=G74,I74,CONCATENATE(INDEX(A75:$G$100,SMALL(IF(G75:$G$100=G75,ROW(G75:$G$100)-ROW(G75)+1,ROW($G$100)+1),1),1)," ",INDEX(A75:$G$100,SMALL(IF(G75:$G$100=G75,ROW(G75:$G$100)-ROW(G75)+1,ROW($G$100)+1),1),2))),"")</f>
        <v xml:space="preserve"> </v>
      </c>
      <c r="J75" s="7" t="str" cm="1">
        <f t="array" ref="J75">IFERROR(IF(G75=G74,J74,CONCATENATE(INDEX(A75:$G$100,SMALL(IF(G75:$G$100=G75,ROW(G75:$G$100)-ROW(G75)+1,ROW($G$100)+1),2),1)," ",INDEX(A75:$G$100,SMALL(IF(G75:$G$100=G75,ROW(G75:$G$100)-ROW(G75)+1,ROW($G$100)+1),2),2))),"")</f>
        <v xml:space="preserve"> </v>
      </c>
      <c r="K75" s="7" t="str" cm="1">
        <f t="array" ref="K75">IFERROR(IF(G75=G74,K74,CONCATENATE(INDEX(A75:$G$100,SMALL(IF(G75:$G$100=G75,ROW(G75:$G$100)-ROW(G75)+1,ROW($G$100)+1),3),1)," ",INDEX(A75:$G$100,SMALL(IF(G75:$G$100=G75,ROW(G75:$G$100)-ROW(G75)+1,ROW($G$100)+1),3),2))),"")</f>
        <v xml:space="preserve"> </v>
      </c>
      <c r="L75" s="7" t="str" cm="1">
        <f t="array" ref="L75">IFERROR(IF(G75=G74,L74,CONCATENATE(INDEX(A75:$G$100,SMALL(IF(G75:$G$100=G75,ROW(G75:$G$100)-ROW(G75)+1,ROW($G$100)+1),4),1)," ",INDEX(A75:$G$100,SMALL(IF(G75:$G$100=G75,ROW(G75:$G$100)-ROW(G75)+1,ROW($G$100)+1),4),2))),"")</f>
        <v xml:space="preserve"> </v>
      </c>
      <c r="M75" s="7" t="str" cm="1">
        <f t="array" ref="M75">IFERROR(IF(G75=G74,M74,CONCATENATE(INDEX(A75:$G$100,SMALL(IF(G75:$G$100=G75,ROW(G75:$G$100)-ROW(G75)+1,ROW($G$100)+1),5),1)," ",INDEX(A75:$G$100,SMALL(IF(G75:$G$100=G75,ROW(G75:$G$100)-ROW(G75)+1,ROW($G$100)+1),5),2))),"")</f>
        <v xml:space="preserve"> </v>
      </c>
      <c r="N75" s="7" t="str" cm="1">
        <f t="array" ref="N75">IFERROR(IF(G75=G74,N74,CONCATENATE(INDEX(A75:$G$100,SMALL(IF(G75:$G$100=G75,ROW(G75:$G$100)-ROW(G75)+1,ROW($G$100)+1),6),1)," ",INDEX(A75:$G$100,SMALL(IF(G75:$G$100=G75,ROW(G75:$G$100)-ROW(G75)+1,ROW($G$100)+1),6),2))),"")</f>
        <v xml:space="preserve"> </v>
      </c>
      <c r="O75" s="7" t="str" cm="1">
        <f t="array" ref="O75">IFERROR(IF(G75=G74,O74,CONCATENATE(INDEX(A75:$G$100,SMALL(IF(G75:$G$100=G75,ROW(G75:$G$100)-ROW(G75)+1,ROW($G$100)+1),7),1)," ",INDEX(A75:$G$100,SMALL(IF(G75:$G$100=G75,ROW(G75:$G$100)-ROW(G75)+1,ROW($G$100)+1),7),2))),"")</f>
        <v xml:space="preserve"> </v>
      </c>
      <c r="P75" s="7" t="str" cm="1">
        <f t="array" ref="P75">IFERROR(IF(G75=G74,P74,CONCATENATE(INDEX(A75:$G$100,SMALL(IF(G75:$G$100=G75,ROW(G75:$G$100)-ROW(G75)+1,ROW($G$100)+1),8),1)," ",INDEX(A75:$G$100,SMALL(IF(G75:$G$100=G75,ROW(G75:$G$100)-ROW(G75)+1,ROW($G$100)+1),8),2))),"")</f>
        <v xml:space="preserve"> </v>
      </c>
      <c r="Q75" s="7" t="str" cm="1">
        <f t="array" ref="Q75">IFERROR(IF(G75=G74,Q74,CONCATENATE(INDEX(A75:$G$100,SMALL(IF(G75:$G$100=G75,ROW(G75:$G$100)-ROW(G75)+1,ROW($G$100)+1),9),1)," ",INDEX(A75:$G$100,SMALL(IF(G75:$G$100=G75,ROW(G75:$G$100)-ROW(G75)+1,ROW($G$100)+1),9),2))),"")</f>
        <v xml:space="preserve"> </v>
      </c>
      <c r="R75" s="7" t="str" cm="1">
        <f t="array" ref="R75">IFERROR(IF(G75=G74,R74,CONCATENATE(INDEX(A75:$G$100,SMALL(IF(G75:$G$100=G75,ROW(G75:$G$100)-ROW(G75)+1,ROW($G$100)+1),10),1)," ",INDEX(A75:$G$100,SMALL(IF(G75:$G$100=G75,ROW(G75:$G$100)-ROW(G75)+1,ROW($G$100)+1),10),2))),"")</f>
        <v xml:space="preserve"> </v>
      </c>
    </row>
    <row r="76" spans="1:18" x14ac:dyDescent="0.2">
      <c r="A76" s="3"/>
      <c r="B76" s="3"/>
      <c r="C76" s="3"/>
      <c r="D76" s="2" t="str">
        <f t="shared" si="8"/>
        <v/>
      </c>
      <c r="E76" s="2" t="str">
        <f t="shared" si="9"/>
        <v/>
      </c>
      <c r="F76" s="2" t="str">
        <f t="shared" si="10"/>
        <v/>
      </c>
      <c r="G76" s="4"/>
      <c r="H76" s="2" t="str">
        <f t="shared" si="7"/>
        <v/>
      </c>
      <c r="I76" s="1" t="str" cm="1">
        <f t="array" ref="I76">IFERROR(IF(G76=G75,I75,CONCATENATE(INDEX(A76:$G$100,SMALL(IF(G76:$G$100=G76,ROW(G76:$G$100)-ROW(G76)+1,ROW($G$100)+1),1),1)," ",INDEX(A76:$G$100,SMALL(IF(G76:$G$100=G76,ROW(G76:$G$100)-ROW(G76)+1,ROW($G$100)+1),1),2))),"")</f>
        <v xml:space="preserve"> </v>
      </c>
      <c r="J76" s="1" t="str" cm="1">
        <f t="array" ref="J76">IFERROR(IF(G76=G75,J75,CONCATENATE(INDEX(A76:$G$100,SMALL(IF(G76:$G$100=G76,ROW(G76:$G$100)-ROW(G76)+1,ROW($G$100)+1),2),1)," ",INDEX(A76:$G$100,SMALL(IF(G76:$G$100=G76,ROW(G76:$G$100)-ROW(G76)+1,ROW($G$100)+1),2),2))),"")</f>
        <v xml:space="preserve"> </v>
      </c>
      <c r="K76" s="1" t="str" cm="1">
        <f t="array" ref="K76">IFERROR(IF(G76=G75,K75,CONCATENATE(INDEX(A76:$G$100,SMALL(IF(G76:$G$100=G76,ROW(G76:$G$100)-ROW(G76)+1,ROW($G$100)+1),3),1)," ",INDEX(A76:$G$100,SMALL(IF(G76:$G$100=G76,ROW(G76:$G$100)-ROW(G76)+1,ROW($G$100)+1),3),2))),"")</f>
        <v xml:space="preserve"> </v>
      </c>
      <c r="L76" s="1" t="str" cm="1">
        <f t="array" ref="L76">IFERROR(IF(G76=G75,L75,CONCATENATE(INDEX(A76:$G$100,SMALL(IF(G76:$G$100=G76,ROW(G76:$G$100)-ROW(G76)+1,ROW($G$100)+1),4),1)," ",INDEX(A76:$G$100,SMALL(IF(G76:$G$100=G76,ROW(G76:$G$100)-ROW(G76)+1,ROW($G$100)+1),4),2))),"")</f>
        <v xml:space="preserve"> </v>
      </c>
      <c r="M76" s="1" t="str" cm="1">
        <f t="array" ref="M76">IFERROR(IF(G76=G75,M75,CONCATENATE(INDEX(A76:$G$100,SMALL(IF(G76:$G$100=G76,ROW(G76:$G$100)-ROW(G76)+1,ROW($G$100)+1),5),1)," ",INDEX(A76:$G$100,SMALL(IF(G76:$G$100=G76,ROW(G76:$G$100)-ROW(G76)+1,ROW($G$100)+1),5),2))),"")</f>
        <v xml:space="preserve"> </v>
      </c>
      <c r="N76" s="1" t="str" cm="1">
        <f t="array" ref="N76">IFERROR(IF(G76=G75,N75,CONCATENATE(INDEX(A76:$G$100,SMALL(IF(G76:$G$100=G76,ROW(G76:$G$100)-ROW(G76)+1,ROW($G$100)+1),6),1)," ",INDEX(A76:$G$100,SMALL(IF(G76:$G$100=G76,ROW(G76:$G$100)-ROW(G76)+1,ROW($G$100)+1),6),2))),"")</f>
        <v xml:space="preserve"> </v>
      </c>
      <c r="O76" s="1" t="str" cm="1">
        <f t="array" ref="O76">IFERROR(IF(G76=G75,O75,CONCATENATE(INDEX(A76:$G$100,SMALL(IF(G76:$G$100=G76,ROW(G76:$G$100)-ROW(G76)+1,ROW($G$100)+1),7),1)," ",INDEX(A76:$G$100,SMALL(IF(G76:$G$100=G76,ROW(G76:$G$100)-ROW(G76)+1,ROW($G$100)+1),7),2))),"")</f>
        <v xml:space="preserve"> </v>
      </c>
      <c r="P76" s="1" t="str" cm="1">
        <f t="array" ref="P76">IFERROR(IF(G76=G75,P75,CONCATENATE(INDEX(A76:$G$100,SMALL(IF(G76:$G$100=G76,ROW(G76:$G$100)-ROW(G76)+1,ROW($G$100)+1),8),1)," ",INDEX(A76:$G$100,SMALL(IF(G76:$G$100=G76,ROW(G76:$G$100)-ROW(G76)+1,ROW($G$100)+1),8),2))),"")</f>
        <v xml:space="preserve"> </v>
      </c>
      <c r="Q76" s="1" t="str" cm="1">
        <f t="array" ref="Q76">IFERROR(IF(G76=G75,Q75,CONCATENATE(INDEX(A76:$G$100,SMALL(IF(G76:$G$100=G76,ROW(G76:$G$100)-ROW(G76)+1,ROW($G$100)+1),9),1)," ",INDEX(A76:$G$100,SMALL(IF(G76:$G$100=G76,ROW(G76:$G$100)-ROW(G76)+1,ROW($G$100)+1),9),2))),"")</f>
        <v xml:space="preserve"> </v>
      </c>
      <c r="R76" s="1" t="str" cm="1">
        <f t="array" ref="R76">IFERROR(IF(G76=G75,R75,CONCATENATE(INDEX(A76:$G$100,SMALL(IF(G76:$G$100=G76,ROW(G76:$G$100)-ROW(G76)+1,ROW($G$100)+1),10),1)," ",INDEX(A76:$G$100,SMALL(IF(G76:$G$100=G76,ROW(G76:$G$100)-ROW(G76)+1,ROW($G$100)+1),10),2))),"")</f>
        <v xml:space="preserve"> </v>
      </c>
    </row>
    <row r="77" spans="1:18" s="7" customFormat="1" x14ac:dyDescent="0.2">
      <c r="A77" s="10"/>
      <c r="B77" s="10"/>
      <c r="C77" s="10"/>
      <c r="D77" s="8" t="str">
        <f t="shared" si="8"/>
        <v/>
      </c>
      <c r="E77" s="8" t="str">
        <f t="shared" si="9"/>
        <v/>
      </c>
      <c r="F77" s="8" t="str">
        <f t="shared" si="10"/>
        <v/>
      </c>
      <c r="G77" s="12"/>
      <c r="H77" s="8" t="str">
        <f t="shared" si="7"/>
        <v/>
      </c>
      <c r="I77" s="7" t="str" cm="1">
        <f t="array" ref="I77">IFERROR(IF(G77=G76,I76,CONCATENATE(INDEX(A77:$G$100,SMALL(IF(G77:$G$100=G77,ROW(G77:$G$100)-ROW(G77)+1,ROW($G$100)+1),1),1)," ",INDEX(A77:$G$100,SMALL(IF(G77:$G$100=G77,ROW(G77:$G$100)-ROW(G77)+1,ROW($G$100)+1),1),2))),"")</f>
        <v xml:space="preserve"> </v>
      </c>
      <c r="J77" s="7" t="str" cm="1">
        <f t="array" ref="J77">IFERROR(IF(G77=G76,J76,CONCATENATE(INDEX(A77:$G$100,SMALL(IF(G77:$G$100=G77,ROW(G77:$G$100)-ROW(G77)+1,ROW($G$100)+1),2),1)," ",INDEX(A77:$G$100,SMALL(IF(G77:$G$100=G77,ROW(G77:$G$100)-ROW(G77)+1,ROW($G$100)+1),2),2))),"")</f>
        <v xml:space="preserve"> </v>
      </c>
      <c r="K77" s="7" t="str" cm="1">
        <f t="array" ref="K77">IFERROR(IF(G77=G76,K76,CONCATENATE(INDEX(A77:$G$100,SMALL(IF(G77:$G$100=G77,ROW(G77:$G$100)-ROW(G77)+1,ROW($G$100)+1),3),1)," ",INDEX(A77:$G$100,SMALL(IF(G77:$G$100=G77,ROW(G77:$G$100)-ROW(G77)+1,ROW($G$100)+1),3),2))),"")</f>
        <v xml:space="preserve"> </v>
      </c>
      <c r="L77" s="7" t="str" cm="1">
        <f t="array" ref="L77">IFERROR(IF(G77=G76,L76,CONCATENATE(INDEX(A77:$G$100,SMALL(IF(G77:$G$100=G77,ROW(G77:$G$100)-ROW(G77)+1,ROW($G$100)+1),4),1)," ",INDEX(A77:$G$100,SMALL(IF(G77:$G$100=G77,ROW(G77:$G$100)-ROW(G77)+1,ROW($G$100)+1),4),2))),"")</f>
        <v xml:space="preserve"> </v>
      </c>
      <c r="M77" s="7" t="str" cm="1">
        <f t="array" ref="M77">IFERROR(IF(G77=G76,M76,CONCATENATE(INDEX(A77:$G$100,SMALL(IF(G77:$G$100=G77,ROW(G77:$G$100)-ROW(G77)+1,ROW($G$100)+1),5),1)," ",INDEX(A77:$G$100,SMALL(IF(G77:$G$100=G77,ROW(G77:$G$100)-ROW(G77)+1,ROW($G$100)+1),5),2))),"")</f>
        <v xml:space="preserve"> </v>
      </c>
      <c r="N77" s="7" t="str" cm="1">
        <f t="array" ref="N77">IFERROR(IF(G77=G76,N76,CONCATENATE(INDEX(A77:$G$100,SMALL(IF(G77:$G$100=G77,ROW(G77:$G$100)-ROW(G77)+1,ROW($G$100)+1),6),1)," ",INDEX(A77:$G$100,SMALL(IF(G77:$G$100=G77,ROW(G77:$G$100)-ROW(G77)+1,ROW($G$100)+1),6),2))),"")</f>
        <v xml:space="preserve"> </v>
      </c>
      <c r="O77" s="7" t="str" cm="1">
        <f t="array" ref="O77">IFERROR(IF(G77=G76,O76,CONCATENATE(INDEX(A77:$G$100,SMALL(IF(G77:$G$100=G77,ROW(G77:$G$100)-ROW(G77)+1,ROW($G$100)+1),7),1)," ",INDEX(A77:$G$100,SMALL(IF(G77:$G$100=G77,ROW(G77:$G$100)-ROW(G77)+1,ROW($G$100)+1),7),2))),"")</f>
        <v xml:space="preserve"> </v>
      </c>
      <c r="P77" s="7" t="str" cm="1">
        <f t="array" ref="P77">IFERROR(IF(G77=G76,P76,CONCATENATE(INDEX(A77:$G$100,SMALL(IF(G77:$G$100=G77,ROW(G77:$G$100)-ROW(G77)+1,ROW($G$100)+1),8),1)," ",INDEX(A77:$G$100,SMALL(IF(G77:$G$100=G77,ROW(G77:$G$100)-ROW(G77)+1,ROW($G$100)+1),8),2))),"")</f>
        <v xml:space="preserve"> </v>
      </c>
      <c r="Q77" s="7" t="str" cm="1">
        <f t="array" ref="Q77">IFERROR(IF(G77=G76,Q76,CONCATENATE(INDEX(A77:$G$100,SMALL(IF(G77:$G$100=G77,ROW(G77:$G$100)-ROW(G77)+1,ROW($G$100)+1),9),1)," ",INDEX(A77:$G$100,SMALL(IF(G77:$G$100=G77,ROW(G77:$G$100)-ROW(G77)+1,ROW($G$100)+1),9),2))),"")</f>
        <v xml:space="preserve"> </v>
      </c>
      <c r="R77" s="7" t="str" cm="1">
        <f t="array" ref="R77">IFERROR(IF(G77=G76,R76,CONCATENATE(INDEX(A77:$G$100,SMALL(IF(G77:$G$100=G77,ROW(G77:$G$100)-ROW(G77)+1,ROW($G$100)+1),10),1)," ",INDEX(A77:$G$100,SMALL(IF(G77:$G$100=G77,ROW(G77:$G$100)-ROW(G77)+1,ROW($G$100)+1),10),2))),"")</f>
        <v xml:space="preserve"> </v>
      </c>
    </row>
    <row r="78" spans="1:18" x14ac:dyDescent="0.2">
      <c r="A78" s="3"/>
      <c r="B78" s="3"/>
      <c r="C78" s="3"/>
      <c r="D78" s="2" t="str">
        <f t="shared" si="8"/>
        <v/>
      </c>
      <c r="E78" s="2" t="str">
        <f t="shared" si="9"/>
        <v/>
      </c>
      <c r="F78" s="2" t="str">
        <f t="shared" si="10"/>
        <v/>
      </c>
      <c r="G78" s="4"/>
      <c r="H78" s="2" t="str">
        <f t="shared" si="7"/>
        <v/>
      </c>
      <c r="I78" s="1" t="str" cm="1">
        <f t="array" ref="I78">IFERROR(IF(G78=G77,I77,CONCATENATE(INDEX(A78:$G$100,SMALL(IF(G78:$G$100=G78,ROW(G78:$G$100)-ROW(G78)+1,ROW($G$100)+1),1),1)," ",INDEX(A78:$G$100,SMALL(IF(G78:$G$100=G78,ROW(G78:$G$100)-ROW(G78)+1,ROW($G$100)+1),1),2))),"")</f>
        <v xml:space="preserve"> </v>
      </c>
      <c r="J78" s="1" t="str" cm="1">
        <f t="array" ref="J78">IFERROR(IF(G78=G77,J77,CONCATENATE(INDEX(A78:$G$100,SMALL(IF(G78:$G$100=G78,ROW(G78:$G$100)-ROW(G78)+1,ROW($G$100)+1),2),1)," ",INDEX(A78:$G$100,SMALL(IF(G78:$G$100=G78,ROW(G78:$G$100)-ROW(G78)+1,ROW($G$100)+1),2),2))),"")</f>
        <v xml:space="preserve"> </v>
      </c>
      <c r="K78" s="1" t="str" cm="1">
        <f t="array" ref="K78">IFERROR(IF(G78=G77,K77,CONCATENATE(INDEX(A78:$G$100,SMALL(IF(G78:$G$100=G78,ROW(G78:$G$100)-ROW(G78)+1,ROW($G$100)+1),3),1)," ",INDEX(A78:$G$100,SMALL(IF(G78:$G$100=G78,ROW(G78:$G$100)-ROW(G78)+1,ROW($G$100)+1),3),2))),"")</f>
        <v xml:space="preserve"> </v>
      </c>
      <c r="L78" s="1" t="str" cm="1">
        <f t="array" ref="L78">IFERROR(IF(G78=G77,L77,CONCATENATE(INDEX(A78:$G$100,SMALL(IF(G78:$G$100=G78,ROW(G78:$G$100)-ROW(G78)+1,ROW($G$100)+1),4),1)," ",INDEX(A78:$G$100,SMALL(IF(G78:$G$100=G78,ROW(G78:$G$100)-ROW(G78)+1,ROW($G$100)+1),4),2))),"")</f>
        <v xml:space="preserve"> </v>
      </c>
      <c r="M78" s="1" t="str" cm="1">
        <f t="array" ref="M78">IFERROR(IF(G78=G77,M77,CONCATENATE(INDEX(A78:$G$100,SMALL(IF(G78:$G$100=G78,ROW(G78:$G$100)-ROW(G78)+1,ROW($G$100)+1),5),1)," ",INDEX(A78:$G$100,SMALL(IF(G78:$G$100=G78,ROW(G78:$G$100)-ROW(G78)+1,ROW($G$100)+1),5),2))),"")</f>
        <v xml:space="preserve"> </v>
      </c>
      <c r="N78" s="1" t="str" cm="1">
        <f t="array" ref="N78">IFERROR(IF(G78=G77,N77,CONCATENATE(INDEX(A78:$G$100,SMALL(IF(G78:$G$100=G78,ROW(G78:$G$100)-ROW(G78)+1,ROW($G$100)+1),6),1)," ",INDEX(A78:$G$100,SMALL(IF(G78:$G$100=G78,ROW(G78:$G$100)-ROW(G78)+1,ROW($G$100)+1),6),2))),"")</f>
        <v xml:space="preserve"> </v>
      </c>
      <c r="O78" s="1" t="str" cm="1">
        <f t="array" ref="O78">IFERROR(IF(G78=G77,O77,CONCATENATE(INDEX(A78:$G$100,SMALL(IF(G78:$G$100=G78,ROW(G78:$G$100)-ROW(G78)+1,ROW($G$100)+1),7),1)," ",INDEX(A78:$G$100,SMALL(IF(G78:$G$100=G78,ROW(G78:$G$100)-ROW(G78)+1,ROW($G$100)+1),7),2))),"")</f>
        <v xml:space="preserve"> </v>
      </c>
      <c r="P78" s="1" t="str" cm="1">
        <f t="array" ref="P78">IFERROR(IF(G78=G77,P77,CONCATENATE(INDEX(A78:$G$100,SMALL(IF(G78:$G$100=G78,ROW(G78:$G$100)-ROW(G78)+1,ROW($G$100)+1),8),1)," ",INDEX(A78:$G$100,SMALL(IF(G78:$G$100=G78,ROW(G78:$G$100)-ROW(G78)+1,ROW($G$100)+1),8),2))),"")</f>
        <v xml:space="preserve"> </v>
      </c>
      <c r="Q78" s="1" t="str" cm="1">
        <f t="array" ref="Q78">IFERROR(IF(G78=G77,Q77,CONCATENATE(INDEX(A78:$G$100,SMALL(IF(G78:$G$100=G78,ROW(G78:$G$100)-ROW(G78)+1,ROW($G$100)+1),9),1)," ",INDEX(A78:$G$100,SMALL(IF(G78:$G$100=G78,ROW(G78:$G$100)-ROW(G78)+1,ROW($G$100)+1),9),2))),"")</f>
        <v xml:space="preserve"> </v>
      </c>
      <c r="R78" s="1" t="str" cm="1">
        <f t="array" ref="R78">IFERROR(IF(G78=G77,R77,CONCATENATE(INDEX(A78:$G$100,SMALL(IF(G78:$G$100=G78,ROW(G78:$G$100)-ROW(G78)+1,ROW($G$100)+1),10),1)," ",INDEX(A78:$G$100,SMALL(IF(G78:$G$100=G78,ROW(G78:$G$100)-ROW(G78)+1,ROW($G$100)+1),10),2))),"")</f>
        <v xml:space="preserve"> </v>
      </c>
    </row>
    <row r="79" spans="1:18" s="7" customFormat="1" x14ac:dyDescent="0.2">
      <c r="A79" s="10"/>
      <c r="B79" s="10"/>
      <c r="C79" s="10"/>
      <c r="D79" s="8" t="str">
        <f t="shared" si="8"/>
        <v/>
      </c>
      <c r="E79" s="8" t="str">
        <f t="shared" si="9"/>
        <v/>
      </c>
      <c r="F79" s="8" t="str">
        <f t="shared" si="10"/>
        <v/>
      </c>
      <c r="G79" s="12"/>
      <c r="H79" s="8" t="str">
        <f t="shared" si="7"/>
        <v/>
      </c>
      <c r="I79" s="7" t="str" cm="1">
        <f t="array" ref="I79">IFERROR(IF(G79=G78,I78,CONCATENATE(INDEX(A79:$G$100,SMALL(IF(G79:$G$100=G79,ROW(G79:$G$100)-ROW(G79)+1,ROW($G$100)+1),1),1)," ",INDEX(A79:$G$100,SMALL(IF(G79:$G$100=G79,ROW(G79:$G$100)-ROW(G79)+1,ROW($G$100)+1),1),2))),"")</f>
        <v xml:space="preserve"> </v>
      </c>
      <c r="J79" s="7" t="str" cm="1">
        <f t="array" ref="J79">IFERROR(IF(G79=G78,J78,CONCATENATE(INDEX(A79:$G$100,SMALL(IF(G79:$G$100=G79,ROW(G79:$G$100)-ROW(G79)+1,ROW($G$100)+1),2),1)," ",INDEX(A79:$G$100,SMALL(IF(G79:$G$100=G79,ROW(G79:$G$100)-ROW(G79)+1,ROW($G$100)+1),2),2))),"")</f>
        <v xml:space="preserve"> </v>
      </c>
      <c r="K79" s="7" t="str" cm="1">
        <f t="array" ref="K79">IFERROR(IF(G79=G78,K78,CONCATENATE(INDEX(A79:$G$100,SMALL(IF(G79:$G$100=G79,ROW(G79:$G$100)-ROW(G79)+1,ROW($G$100)+1),3),1)," ",INDEX(A79:$G$100,SMALL(IF(G79:$G$100=G79,ROW(G79:$G$100)-ROW(G79)+1,ROW($G$100)+1),3),2))),"")</f>
        <v xml:space="preserve"> </v>
      </c>
      <c r="L79" s="7" t="str" cm="1">
        <f t="array" ref="L79">IFERROR(IF(G79=G78,L78,CONCATENATE(INDEX(A79:$G$100,SMALL(IF(G79:$G$100=G79,ROW(G79:$G$100)-ROW(G79)+1,ROW($G$100)+1),4),1)," ",INDEX(A79:$G$100,SMALL(IF(G79:$G$100=G79,ROW(G79:$G$100)-ROW(G79)+1,ROW($G$100)+1),4),2))),"")</f>
        <v xml:space="preserve"> </v>
      </c>
      <c r="M79" s="7" t="str" cm="1">
        <f t="array" ref="M79">IFERROR(IF(G79=G78,M78,CONCATENATE(INDEX(A79:$G$100,SMALL(IF(G79:$G$100=G79,ROW(G79:$G$100)-ROW(G79)+1,ROW($G$100)+1),5),1)," ",INDEX(A79:$G$100,SMALL(IF(G79:$G$100=G79,ROW(G79:$G$100)-ROW(G79)+1,ROW($G$100)+1),5),2))),"")</f>
        <v xml:space="preserve"> </v>
      </c>
      <c r="N79" s="7" t="str" cm="1">
        <f t="array" ref="N79">IFERROR(IF(G79=G78,N78,CONCATENATE(INDEX(A79:$G$100,SMALL(IF(G79:$G$100=G79,ROW(G79:$G$100)-ROW(G79)+1,ROW($G$100)+1),6),1)," ",INDEX(A79:$G$100,SMALL(IF(G79:$G$100=G79,ROW(G79:$G$100)-ROW(G79)+1,ROW($G$100)+1),6),2))),"")</f>
        <v xml:space="preserve"> </v>
      </c>
      <c r="O79" s="7" t="str" cm="1">
        <f t="array" ref="O79">IFERROR(IF(G79=G78,O78,CONCATENATE(INDEX(A79:$G$100,SMALL(IF(G79:$G$100=G79,ROW(G79:$G$100)-ROW(G79)+1,ROW($G$100)+1),7),1)," ",INDEX(A79:$G$100,SMALL(IF(G79:$G$100=G79,ROW(G79:$G$100)-ROW(G79)+1,ROW($G$100)+1),7),2))),"")</f>
        <v xml:space="preserve"> </v>
      </c>
      <c r="P79" s="7" t="str" cm="1">
        <f t="array" ref="P79">IFERROR(IF(G79=G78,P78,CONCATENATE(INDEX(A79:$G$100,SMALL(IF(G79:$G$100=G79,ROW(G79:$G$100)-ROW(G79)+1,ROW($G$100)+1),8),1)," ",INDEX(A79:$G$100,SMALL(IF(G79:$G$100=G79,ROW(G79:$G$100)-ROW(G79)+1,ROW($G$100)+1),8),2))),"")</f>
        <v xml:space="preserve"> </v>
      </c>
      <c r="Q79" s="7" t="str" cm="1">
        <f t="array" ref="Q79">IFERROR(IF(G79=G78,Q78,CONCATENATE(INDEX(A79:$G$100,SMALL(IF(G79:$G$100=G79,ROW(G79:$G$100)-ROW(G79)+1,ROW($G$100)+1),9),1)," ",INDEX(A79:$G$100,SMALL(IF(G79:$G$100=G79,ROW(G79:$G$100)-ROW(G79)+1,ROW($G$100)+1),9),2))),"")</f>
        <v xml:space="preserve"> </v>
      </c>
      <c r="R79" s="7" t="str" cm="1">
        <f t="array" ref="R79">IFERROR(IF(G79=G78,R78,CONCATENATE(INDEX(A79:$G$100,SMALL(IF(G79:$G$100=G79,ROW(G79:$G$100)-ROW(G79)+1,ROW($G$100)+1),10),1)," ",INDEX(A79:$G$100,SMALL(IF(G79:$G$100=G79,ROW(G79:$G$100)-ROW(G79)+1,ROW($G$100)+1),10),2))),"")</f>
        <v xml:space="preserve"> </v>
      </c>
    </row>
    <row r="80" spans="1:18" x14ac:dyDescent="0.2">
      <c r="A80" s="3"/>
      <c r="B80" s="3"/>
      <c r="C80" s="3"/>
      <c r="D80" s="2" t="str">
        <f t="shared" si="8"/>
        <v/>
      </c>
      <c r="E80" s="2" t="str">
        <f t="shared" si="9"/>
        <v/>
      </c>
      <c r="F80" s="2" t="str">
        <f t="shared" si="10"/>
        <v/>
      </c>
      <c r="G80" s="4"/>
      <c r="H80" s="2" t="str">
        <f t="shared" si="7"/>
        <v/>
      </c>
      <c r="I80" s="1" t="str" cm="1">
        <f t="array" ref="I80">IFERROR(IF(G80=G79,I79,CONCATENATE(INDEX(A80:$G$100,SMALL(IF(G80:$G$100=G80,ROW(G80:$G$100)-ROW(G80)+1,ROW($G$100)+1),1),1)," ",INDEX(A80:$G$100,SMALL(IF(G80:$G$100=G80,ROW(G80:$G$100)-ROW(G80)+1,ROW($G$100)+1),1),2))),"")</f>
        <v xml:space="preserve"> </v>
      </c>
      <c r="J80" s="1" t="str" cm="1">
        <f t="array" ref="J80">IFERROR(IF(G80=G79,J79,CONCATENATE(INDEX(A80:$G$100,SMALL(IF(G80:$G$100=G80,ROW(G80:$G$100)-ROW(G80)+1,ROW($G$100)+1),2),1)," ",INDEX(A80:$G$100,SMALL(IF(G80:$G$100=G80,ROW(G80:$G$100)-ROW(G80)+1,ROW($G$100)+1),2),2))),"")</f>
        <v xml:space="preserve"> </v>
      </c>
      <c r="K80" s="1" t="str" cm="1">
        <f t="array" ref="K80">IFERROR(IF(G80=G79,K79,CONCATENATE(INDEX(A80:$G$100,SMALL(IF(G80:$G$100=G80,ROW(G80:$G$100)-ROW(G80)+1,ROW($G$100)+1),3),1)," ",INDEX(A80:$G$100,SMALL(IF(G80:$G$100=G80,ROW(G80:$G$100)-ROW(G80)+1,ROW($G$100)+1),3),2))),"")</f>
        <v xml:space="preserve"> </v>
      </c>
      <c r="L80" s="1" t="str" cm="1">
        <f t="array" ref="L80">IFERROR(IF(G80=G79,L79,CONCATENATE(INDEX(A80:$G$100,SMALL(IF(G80:$G$100=G80,ROW(G80:$G$100)-ROW(G80)+1,ROW($G$100)+1),4),1)," ",INDEX(A80:$G$100,SMALL(IF(G80:$G$100=G80,ROW(G80:$G$100)-ROW(G80)+1,ROW($G$100)+1),4),2))),"")</f>
        <v xml:space="preserve"> </v>
      </c>
      <c r="M80" s="1" t="str" cm="1">
        <f t="array" ref="M80">IFERROR(IF(G80=G79,M79,CONCATENATE(INDEX(A80:$G$100,SMALL(IF(G80:$G$100=G80,ROW(G80:$G$100)-ROW(G80)+1,ROW($G$100)+1),5),1)," ",INDEX(A80:$G$100,SMALL(IF(G80:$G$100=G80,ROW(G80:$G$100)-ROW(G80)+1,ROW($G$100)+1),5),2))),"")</f>
        <v xml:space="preserve"> </v>
      </c>
      <c r="N80" s="1" t="str" cm="1">
        <f t="array" ref="N80">IFERROR(IF(G80=G79,N79,CONCATENATE(INDEX(A80:$G$100,SMALL(IF(G80:$G$100=G80,ROW(G80:$G$100)-ROW(G80)+1,ROW($G$100)+1),6),1)," ",INDEX(A80:$G$100,SMALL(IF(G80:$G$100=G80,ROW(G80:$G$100)-ROW(G80)+1,ROW($G$100)+1),6),2))),"")</f>
        <v xml:space="preserve"> </v>
      </c>
      <c r="O80" s="1" t="str" cm="1">
        <f t="array" ref="O80">IFERROR(IF(G80=G79,O79,CONCATENATE(INDEX(A80:$G$100,SMALL(IF(G80:$G$100=G80,ROW(G80:$G$100)-ROW(G80)+1,ROW($G$100)+1),7),1)," ",INDEX(A80:$G$100,SMALL(IF(G80:$G$100=G80,ROW(G80:$G$100)-ROW(G80)+1,ROW($G$100)+1),7),2))),"")</f>
        <v xml:space="preserve"> </v>
      </c>
      <c r="P80" s="1" t="str" cm="1">
        <f t="array" ref="P80">IFERROR(IF(G80=G79,P79,CONCATENATE(INDEX(A80:$G$100,SMALL(IF(G80:$G$100=G80,ROW(G80:$G$100)-ROW(G80)+1,ROW($G$100)+1),8),1)," ",INDEX(A80:$G$100,SMALL(IF(G80:$G$100=G80,ROW(G80:$G$100)-ROW(G80)+1,ROW($G$100)+1),8),2))),"")</f>
        <v xml:space="preserve"> </v>
      </c>
      <c r="Q80" s="1" t="str" cm="1">
        <f t="array" ref="Q80">IFERROR(IF(G80=G79,Q79,CONCATENATE(INDEX(A80:$G$100,SMALL(IF(G80:$G$100=G80,ROW(G80:$G$100)-ROW(G80)+1,ROW($G$100)+1),9),1)," ",INDEX(A80:$G$100,SMALL(IF(G80:$G$100=G80,ROW(G80:$G$100)-ROW(G80)+1,ROW($G$100)+1),9),2))),"")</f>
        <v xml:space="preserve"> </v>
      </c>
      <c r="R80" s="1" t="str" cm="1">
        <f t="array" ref="R80">IFERROR(IF(G80=G79,R79,CONCATENATE(INDEX(A80:$G$100,SMALL(IF(G80:$G$100=G80,ROW(G80:$G$100)-ROW(G80)+1,ROW($G$100)+1),10),1)," ",INDEX(A80:$G$100,SMALL(IF(G80:$G$100=G80,ROW(G80:$G$100)-ROW(G80)+1,ROW($G$100)+1),10),2))),"")</f>
        <v xml:space="preserve"> </v>
      </c>
    </row>
    <row r="81" spans="1:18" s="7" customFormat="1" x14ac:dyDescent="0.2">
      <c r="A81" s="10"/>
      <c r="B81" s="10"/>
      <c r="C81" s="10"/>
      <c r="D81" s="8" t="str">
        <f t="shared" si="8"/>
        <v/>
      </c>
      <c r="E81" s="8" t="str">
        <f t="shared" si="9"/>
        <v/>
      </c>
      <c r="F81" s="8" t="str">
        <f t="shared" si="10"/>
        <v/>
      </c>
      <c r="G81" s="12"/>
      <c r="H81" s="8" t="str">
        <f t="shared" si="7"/>
        <v/>
      </c>
      <c r="I81" s="7" t="str" cm="1">
        <f t="array" ref="I81">IFERROR(IF(G81=G80,I80,CONCATENATE(INDEX(A81:$G$100,SMALL(IF(G81:$G$100=G81,ROW(G81:$G$100)-ROW(G81)+1,ROW($G$100)+1),1),1)," ",INDEX(A81:$G$100,SMALL(IF(G81:$G$100=G81,ROW(G81:$G$100)-ROW(G81)+1,ROW($G$100)+1),1),2))),"")</f>
        <v xml:space="preserve"> </v>
      </c>
      <c r="J81" s="7" t="str" cm="1">
        <f t="array" ref="J81">IFERROR(IF(G81=G80,J80,CONCATENATE(INDEX(A81:$G$100,SMALL(IF(G81:$G$100=G81,ROW(G81:$G$100)-ROW(G81)+1,ROW($G$100)+1),2),1)," ",INDEX(A81:$G$100,SMALL(IF(G81:$G$100=G81,ROW(G81:$G$100)-ROW(G81)+1,ROW($G$100)+1),2),2))),"")</f>
        <v xml:space="preserve"> </v>
      </c>
      <c r="K81" s="7" t="str" cm="1">
        <f t="array" ref="K81">IFERROR(IF(G81=G80,K80,CONCATENATE(INDEX(A81:$G$100,SMALL(IF(G81:$G$100=G81,ROW(G81:$G$100)-ROW(G81)+1,ROW($G$100)+1),3),1)," ",INDEX(A81:$G$100,SMALL(IF(G81:$G$100=G81,ROW(G81:$G$100)-ROW(G81)+1,ROW($G$100)+1),3),2))),"")</f>
        <v xml:space="preserve"> </v>
      </c>
      <c r="L81" s="7" t="str" cm="1">
        <f t="array" ref="L81">IFERROR(IF(G81=G80,L80,CONCATENATE(INDEX(A81:$G$100,SMALL(IF(G81:$G$100=G81,ROW(G81:$G$100)-ROW(G81)+1,ROW($G$100)+1),4),1)," ",INDEX(A81:$G$100,SMALL(IF(G81:$G$100=G81,ROW(G81:$G$100)-ROW(G81)+1,ROW($G$100)+1),4),2))),"")</f>
        <v xml:space="preserve"> </v>
      </c>
      <c r="M81" s="7" t="str" cm="1">
        <f t="array" ref="M81">IFERROR(IF(G81=G80,M80,CONCATENATE(INDEX(A81:$G$100,SMALL(IF(G81:$G$100=G81,ROW(G81:$G$100)-ROW(G81)+1,ROW($G$100)+1),5),1)," ",INDEX(A81:$G$100,SMALL(IF(G81:$G$100=G81,ROW(G81:$G$100)-ROW(G81)+1,ROW($G$100)+1),5),2))),"")</f>
        <v xml:space="preserve"> </v>
      </c>
      <c r="N81" s="7" t="str" cm="1">
        <f t="array" ref="N81">IFERROR(IF(G81=G80,N80,CONCATENATE(INDEX(A81:$G$100,SMALL(IF(G81:$G$100=G81,ROW(G81:$G$100)-ROW(G81)+1,ROW($G$100)+1),6),1)," ",INDEX(A81:$G$100,SMALL(IF(G81:$G$100=G81,ROW(G81:$G$100)-ROW(G81)+1,ROW($G$100)+1),6),2))),"")</f>
        <v xml:space="preserve"> </v>
      </c>
      <c r="O81" s="7" t="str" cm="1">
        <f t="array" ref="O81">IFERROR(IF(G81=G80,O80,CONCATENATE(INDEX(A81:$G$100,SMALL(IF(G81:$G$100=G81,ROW(G81:$G$100)-ROW(G81)+1,ROW($G$100)+1),7),1)," ",INDEX(A81:$G$100,SMALL(IF(G81:$G$100=G81,ROW(G81:$G$100)-ROW(G81)+1,ROW($G$100)+1),7),2))),"")</f>
        <v xml:space="preserve"> </v>
      </c>
      <c r="P81" s="7" t="str" cm="1">
        <f t="array" ref="P81">IFERROR(IF(G81=G80,P80,CONCATENATE(INDEX(A81:$G$100,SMALL(IF(G81:$G$100=G81,ROW(G81:$G$100)-ROW(G81)+1,ROW($G$100)+1),8),1)," ",INDEX(A81:$G$100,SMALL(IF(G81:$G$100=G81,ROW(G81:$G$100)-ROW(G81)+1,ROW($G$100)+1),8),2))),"")</f>
        <v xml:space="preserve"> </v>
      </c>
      <c r="Q81" s="7" t="str" cm="1">
        <f t="array" ref="Q81">IFERROR(IF(G81=G80,Q80,CONCATENATE(INDEX(A81:$G$100,SMALL(IF(G81:$G$100=G81,ROW(G81:$G$100)-ROW(G81)+1,ROW($G$100)+1),9),1)," ",INDEX(A81:$G$100,SMALL(IF(G81:$G$100=G81,ROW(G81:$G$100)-ROW(G81)+1,ROW($G$100)+1),9),2))),"")</f>
        <v xml:space="preserve"> </v>
      </c>
      <c r="R81" s="7" t="str" cm="1">
        <f t="array" ref="R81">IFERROR(IF(G81=G80,R80,CONCATENATE(INDEX(A81:$G$100,SMALL(IF(G81:$G$100=G81,ROW(G81:$G$100)-ROW(G81)+1,ROW($G$100)+1),10),1)," ",INDEX(A81:$G$100,SMALL(IF(G81:$G$100=G81,ROW(G81:$G$100)-ROW(G81)+1,ROW($G$100)+1),10),2))),"")</f>
        <v xml:space="preserve"> </v>
      </c>
    </row>
    <row r="82" spans="1:18" x14ac:dyDescent="0.2">
      <c r="A82" s="3"/>
      <c r="B82" s="3"/>
      <c r="C82" s="3"/>
      <c r="D82" s="2" t="str">
        <f t="shared" si="8"/>
        <v/>
      </c>
      <c r="E82" s="2" t="str">
        <f t="shared" si="9"/>
        <v/>
      </c>
      <c r="F82" s="2" t="str">
        <f t="shared" si="10"/>
        <v/>
      </c>
      <c r="G82" s="4"/>
      <c r="H82" s="2" t="str">
        <f t="shared" si="7"/>
        <v/>
      </c>
      <c r="I82" s="1" t="str" cm="1">
        <f t="array" ref="I82">IFERROR(IF(G82=G81,I81,CONCATENATE(INDEX(A82:$G$100,SMALL(IF(G82:$G$100=G82,ROW(G82:$G$100)-ROW(G82)+1,ROW($G$100)+1),1),1)," ",INDEX(A82:$G$100,SMALL(IF(G82:$G$100=G82,ROW(G82:$G$100)-ROW(G82)+1,ROW($G$100)+1),1),2))),"")</f>
        <v xml:space="preserve"> </v>
      </c>
      <c r="J82" s="1" t="str" cm="1">
        <f t="array" ref="J82">IFERROR(IF(G82=G81,J81,CONCATENATE(INDEX(A82:$G$100,SMALL(IF(G82:$G$100=G82,ROW(G82:$G$100)-ROW(G82)+1,ROW($G$100)+1),2),1)," ",INDEX(A82:$G$100,SMALL(IF(G82:$G$100=G82,ROW(G82:$G$100)-ROW(G82)+1,ROW($G$100)+1),2),2))),"")</f>
        <v xml:space="preserve"> </v>
      </c>
      <c r="K82" s="1" t="str" cm="1">
        <f t="array" ref="K82">IFERROR(IF(G82=G81,K81,CONCATENATE(INDEX(A82:$G$100,SMALL(IF(G82:$G$100=G82,ROW(G82:$G$100)-ROW(G82)+1,ROW($G$100)+1),3),1)," ",INDEX(A82:$G$100,SMALL(IF(G82:$G$100=G82,ROW(G82:$G$100)-ROW(G82)+1,ROW($G$100)+1),3),2))),"")</f>
        <v xml:space="preserve"> </v>
      </c>
      <c r="L82" s="1" t="str" cm="1">
        <f t="array" ref="L82">IFERROR(IF(G82=G81,L81,CONCATENATE(INDEX(A82:$G$100,SMALL(IF(G82:$G$100=G82,ROW(G82:$G$100)-ROW(G82)+1,ROW($G$100)+1),4),1)," ",INDEX(A82:$G$100,SMALL(IF(G82:$G$100=G82,ROW(G82:$G$100)-ROW(G82)+1,ROW($G$100)+1),4),2))),"")</f>
        <v xml:space="preserve"> </v>
      </c>
      <c r="M82" s="1" t="str" cm="1">
        <f t="array" ref="M82">IFERROR(IF(G82=G81,M81,CONCATENATE(INDEX(A82:$G$100,SMALL(IF(G82:$G$100=G82,ROW(G82:$G$100)-ROW(G82)+1,ROW($G$100)+1),5),1)," ",INDEX(A82:$G$100,SMALL(IF(G82:$G$100=G82,ROW(G82:$G$100)-ROW(G82)+1,ROW($G$100)+1),5),2))),"")</f>
        <v xml:space="preserve"> </v>
      </c>
      <c r="N82" s="1" t="str" cm="1">
        <f t="array" ref="N82">IFERROR(IF(G82=G81,N81,CONCATENATE(INDEX(A82:$G$100,SMALL(IF(G82:$G$100=G82,ROW(G82:$G$100)-ROW(G82)+1,ROW($G$100)+1),6),1)," ",INDEX(A82:$G$100,SMALL(IF(G82:$G$100=G82,ROW(G82:$G$100)-ROW(G82)+1,ROW($G$100)+1),6),2))),"")</f>
        <v xml:space="preserve"> </v>
      </c>
      <c r="O82" s="1" t="str" cm="1">
        <f t="array" ref="O82">IFERROR(IF(G82=G81,O81,CONCATENATE(INDEX(A82:$G$100,SMALL(IF(G82:$G$100=G82,ROW(G82:$G$100)-ROW(G82)+1,ROW($G$100)+1),7),1)," ",INDEX(A82:$G$100,SMALL(IF(G82:$G$100=G82,ROW(G82:$G$100)-ROW(G82)+1,ROW($G$100)+1),7),2))),"")</f>
        <v xml:space="preserve"> </v>
      </c>
      <c r="P82" s="1" t="str" cm="1">
        <f t="array" ref="P82">IFERROR(IF(G82=G81,P81,CONCATENATE(INDEX(A82:$G$100,SMALL(IF(G82:$G$100=G82,ROW(G82:$G$100)-ROW(G82)+1,ROW($G$100)+1),8),1)," ",INDEX(A82:$G$100,SMALL(IF(G82:$G$100=G82,ROW(G82:$G$100)-ROW(G82)+1,ROW($G$100)+1),8),2))),"")</f>
        <v xml:space="preserve"> </v>
      </c>
      <c r="Q82" s="1" t="str" cm="1">
        <f t="array" ref="Q82">IFERROR(IF(G82=G81,Q81,CONCATENATE(INDEX(A82:$G$100,SMALL(IF(G82:$G$100=G82,ROW(G82:$G$100)-ROW(G82)+1,ROW($G$100)+1),9),1)," ",INDEX(A82:$G$100,SMALL(IF(G82:$G$100=G82,ROW(G82:$G$100)-ROW(G82)+1,ROW($G$100)+1),9),2))),"")</f>
        <v xml:space="preserve"> </v>
      </c>
      <c r="R82" s="1" t="str" cm="1">
        <f t="array" ref="R82">IFERROR(IF(G82=G81,R81,CONCATENATE(INDEX(A82:$G$100,SMALL(IF(G82:$G$100=G82,ROW(G82:$G$100)-ROW(G82)+1,ROW($G$100)+1),10),1)," ",INDEX(A82:$G$100,SMALL(IF(G82:$G$100=G82,ROW(G82:$G$100)-ROW(G82)+1,ROW($G$100)+1),10),2))),"")</f>
        <v xml:space="preserve"> </v>
      </c>
    </row>
    <row r="83" spans="1:18" s="7" customFormat="1" x14ac:dyDescent="0.2">
      <c r="A83" s="10"/>
      <c r="B83" s="10"/>
      <c r="C83" s="10"/>
      <c r="D83" s="8" t="str">
        <f t="shared" si="8"/>
        <v/>
      </c>
      <c r="E83" s="8" t="str">
        <f t="shared" si="9"/>
        <v/>
      </c>
      <c r="F83" s="8" t="str">
        <f t="shared" si="10"/>
        <v/>
      </c>
      <c r="G83" s="12"/>
      <c r="H83" s="8" t="str">
        <f t="shared" si="7"/>
        <v/>
      </c>
      <c r="I83" s="7" t="str" cm="1">
        <f t="array" ref="I83">IFERROR(IF(G83=G82,I82,CONCATENATE(INDEX(A83:$G$100,SMALL(IF(G83:$G$100=G83,ROW(G83:$G$100)-ROW(G83)+1,ROW($G$100)+1),1),1)," ",INDEX(A83:$G$100,SMALL(IF(G83:$G$100=G83,ROW(G83:$G$100)-ROW(G83)+1,ROW($G$100)+1),1),2))),"")</f>
        <v xml:space="preserve"> </v>
      </c>
      <c r="J83" s="7" t="str" cm="1">
        <f t="array" ref="J83">IFERROR(IF(G83=G82,J82,CONCATENATE(INDEX(A83:$G$100,SMALL(IF(G83:$G$100=G83,ROW(G83:$G$100)-ROW(G83)+1,ROW($G$100)+1),2),1)," ",INDEX(A83:$G$100,SMALL(IF(G83:$G$100=G83,ROW(G83:$G$100)-ROW(G83)+1,ROW($G$100)+1),2),2))),"")</f>
        <v xml:space="preserve"> </v>
      </c>
      <c r="K83" s="7" t="str" cm="1">
        <f t="array" ref="K83">IFERROR(IF(G83=G82,K82,CONCATENATE(INDEX(A83:$G$100,SMALL(IF(G83:$G$100=G83,ROW(G83:$G$100)-ROW(G83)+1,ROW($G$100)+1),3),1)," ",INDEX(A83:$G$100,SMALL(IF(G83:$G$100=G83,ROW(G83:$G$100)-ROW(G83)+1,ROW($G$100)+1),3),2))),"")</f>
        <v xml:space="preserve"> </v>
      </c>
      <c r="L83" s="7" t="str" cm="1">
        <f t="array" ref="L83">IFERROR(IF(G83=G82,L82,CONCATENATE(INDEX(A83:$G$100,SMALL(IF(G83:$G$100=G83,ROW(G83:$G$100)-ROW(G83)+1,ROW($G$100)+1),4),1)," ",INDEX(A83:$G$100,SMALL(IF(G83:$G$100=G83,ROW(G83:$G$100)-ROW(G83)+1,ROW($G$100)+1),4),2))),"")</f>
        <v xml:space="preserve"> </v>
      </c>
      <c r="M83" s="7" t="str" cm="1">
        <f t="array" ref="M83">IFERROR(IF(G83=G82,M82,CONCATENATE(INDEX(A83:$G$100,SMALL(IF(G83:$G$100=G83,ROW(G83:$G$100)-ROW(G83)+1,ROW($G$100)+1),5),1)," ",INDEX(A83:$G$100,SMALL(IF(G83:$G$100=G83,ROW(G83:$G$100)-ROW(G83)+1,ROW($G$100)+1),5),2))),"")</f>
        <v xml:space="preserve"> </v>
      </c>
      <c r="N83" s="7" t="str" cm="1">
        <f t="array" ref="N83">IFERROR(IF(G83=G82,N82,CONCATENATE(INDEX(A83:$G$100,SMALL(IF(G83:$G$100=G83,ROW(G83:$G$100)-ROW(G83)+1,ROW($G$100)+1),6),1)," ",INDEX(A83:$G$100,SMALL(IF(G83:$G$100=G83,ROW(G83:$G$100)-ROW(G83)+1,ROW($G$100)+1),6),2))),"")</f>
        <v xml:space="preserve"> </v>
      </c>
      <c r="O83" s="7" t="str" cm="1">
        <f t="array" ref="O83">IFERROR(IF(G83=G82,O82,CONCATENATE(INDEX(A83:$G$100,SMALL(IF(G83:$G$100=G83,ROW(G83:$G$100)-ROW(G83)+1,ROW($G$100)+1),7),1)," ",INDEX(A83:$G$100,SMALL(IF(G83:$G$100=G83,ROW(G83:$G$100)-ROW(G83)+1,ROW($G$100)+1),7),2))),"")</f>
        <v xml:space="preserve"> </v>
      </c>
      <c r="P83" s="7" t="str" cm="1">
        <f t="array" ref="P83">IFERROR(IF(G83=G82,P82,CONCATENATE(INDEX(A83:$G$100,SMALL(IF(G83:$G$100=G83,ROW(G83:$G$100)-ROW(G83)+1,ROW($G$100)+1),8),1)," ",INDEX(A83:$G$100,SMALL(IF(G83:$G$100=G83,ROW(G83:$G$100)-ROW(G83)+1,ROW($G$100)+1),8),2))),"")</f>
        <v xml:space="preserve"> </v>
      </c>
      <c r="Q83" s="7" t="str" cm="1">
        <f t="array" ref="Q83">IFERROR(IF(G83=G82,Q82,CONCATENATE(INDEX(A83:$G$100,SMALL(IF(G83:$G$100=G83,ROW(G83:$G$100)-ROW(G83)+1,ROW($G$100)+1),9),1)," ",INDEX(A83:$G$100,SMALL(IF(G83:$G$100=G83,ROW(G83:$G$100)-ROW(G83)+1,ROW($G$100)+1),9),2))),"")</f>
        <v xml:space="preserve"> </v>
      </c>
      <c r="R83" s="7" t="str" cm="1">
        <f t="array" ref="R83">IFERROR(IF(G83=G82,R82,CONCATENATE(INDEX(A83:$G$100,SMALL(IF(G83:$G$100=G83,ROW(G83:$G$100)-ROW(G83)+1,ROW($G$100)+1),10),1)," ",INDEX(A83:$G$100,SMALL(IF(G83:$G$100=G83,ROW(G83:$G$100)-ROW(G83)+1,ROW($G$100)+1),10),2))),"")</f>
        <v xml:space="preserve"> </v>
      </c>
    </row>
    <row r="84" spans="1:18" x14ac:dyDescent="0.2">
      <c r="A84" s="3"/>
      <c r="B84" s="3"/>
      <c r="C84" s="3"/>
      <c r="D84" s="2" t="str">
        <f t="shared" si="8"/>
        <v/>
      </c>
      <c r="E84" s="2" t="str">
        <f t="shared" si="9"/>
        <v/>
      </c>
      <c r="F84" s="2" t="str">
        <f t="shared" si="10"/>
        <v/>
      </c>
      <c r="G84" s="4"/>
      <c r="H84" s="2" t="str">
        <f t="shared" si="7"/>
        <v/>
      </c>
      <c r="I84" s="1" t="str" cm="1">
        <f t="array" ref="I84">IFERROR(IF(G84=G83,I83,CONCATENATE(INDEX(A84:$G$100,SMALL(IF(G84:$G$100=G84,ROW(G84:$G$100)-ROW(G84)+1,ROW($G$100)+1),1),1)," ",INDEX(A84:$G$100,SMALL(IF(G84:$G$100=G84,ROW(G84:$G$100)-ROW(G84)+1,ROW($G$100)+1),1),2))),"")</f>
        <v xml:space="preserve"> </v>
      </c>
      <c r="J84" s="1" t="str" cm="1">
        <f t="array" ref="J84">IFERROR(IF(G84=G83,J83,CONCATENATE(INDEX(A84:$G$100,SMALL(IF(G84:$G$100=G84,ROW(G84:$G$100)-ROW(G84)+1,ROW($G$100)+1),2),1)," ",INDEX(A84:$G$100,SMALL(IF(G84:$G$100=G84,ROW(G84:$G$100)-ROW(G84)+1,ROW($G$100)+1),2),2))),"")</f>
        <v xml:space="preserve"> </v>
      </c>
      <c r="K84" s="1" t="str" cm="1">
        <f t="array" ref="K84">IFERROR(IF(G84=G83,K83,CONCATENATE(INDEX(A84:$G$100,SMALL(IF(G84:$G$100=G84,ROW(G84:$G$100)-ROW(G84)+1,ROW($G$100)+1),3),1)," ",INDEX(A84:$G$100,SMALL(IF(G84:$G$100=G84,ROW(G84:$G$100)-ROW(G84)+1,ROW($G$100)+1),3),2))),"")</f>
        <v xml:space="preserve"> </v>
      </c>
      <c r="L84" s="1" t="str" cm="1">
        <f t="array" ref="L84">IFERROR(IF(G84=G83,L83,CONCATENATE(INDEX(A84:$G$100,SMALL(IF(G84:$G$100=G84,ROW(G84:$G$100)-ROW(G84)+1,ROW($G$100)+1),4),1)," ",INDEX(A84:$G$100,SMALL(IF(G84:$G$100=G84,ROW(G84:$G$100)-ROW(G84)+1,ROW($G$100)+1),4),2))),"")</f>
        <v xml:space="preserve"> </v>
      </c>
      <c r="M84" s="1" t="str" cm="1">
        <f t="array" ref="M84">IFERROR(IF(G84=G83,M83,CONCATENATE(INDEX(A84:$G$100,SMALL(IF(G84:$G$100=G84,ROW(G84:$G$100)-ROW(G84)+1,ROW($G$100)+1),5),1)," ",INDEX(A84:$G$100,SMALL(IF(G84:$G$100=G84,ROW(G84:$G$100)-ROW(G84)+1,ROW($G$100)+1),5),2))),"")</f>
        <v xml:space="preserve"> </v>
      </c>
      <c r="N84" s="1" t="str" cm="1">
        <f t="array" ref="N84">IFERROR(IF(G84=G83,N83,CONCATENATE(INDEX(A84:$G$100,SMALL(IF(G84:$G$100=G84,ROW(G84:$G$100)-ROW(G84)+1,ROW($G$100)+1),6),1)," ",INDEX(A84:$G$100,SMALL(IF(G84:$G$100=G84,ROW(G84:$G$100)-ROW(G84)+1,ROW($G$100)+1),6),2))),"")</f>
        <v xml:space="preserve"> </v>
      </c>
      <c r="O84" s="1" t="str" cm="1">
        <f t="array" ref="O84">IFERROR(IF(G84=G83,O83,CONCATENATE(INDEX(A84:$G$100,SMALL(IF(G84:$G$100=G84,ROW(G84:$G$100)-ROW(G84)+1,ROW($G$100)+1),7),1)," ",INDEX(A84:$G$100,SMALL(IF(G84:$G$100=G84,ROW(G84:$G$100)-ROW(G84)+1,ROW($G$100)+1),7),2))),"")</f>
        <v xml:space="preserve"> </v>
      </c>
      <c r="P84" s="1" t="str" cm="1">
        <f t="array" ref="P84">IFERROR(IF(G84=G83,P83,CONCATENATE(INDEX(A84:$G$100,SMALL(IF(G84:$G$100=G84,ROW(G84:$G$100)-ROW(G84)+1,ROW($G$100)+1),8),1)," ",INDEX(A84:$G$100,SMALL(IF(G84:$G$100=G84,ROW(G84:$G$100)-ROW(G84)+1,ROW($G$100)+1),8),2))),"")</f>
        <v xml:space="preserve"> </v>
      </c>
      <c r="Q84" s="1" t="str" cm="1">
        <f t="array" ref="Q84">IFERROR(IF(G84=G83,Q83,CONCATENATE(INDEX(A84:$G$100,SMALL(IF(G84:$G$100=G84,ROW(G84:$G$100)-ROW(G84)+1,ROW($G$100)+1),9),1)," ",INDEX(A84:$G$100,SMALL(IF(G84:$G$100=G84,ROW(G84:$G$100)-ROW(G84)+1,ROW($G$100)+1),9),2))),"")</f>
        <v xml:space="preserve"> </v>
      </c>
      <c r="R84" s="1" t="str" cm="1">
        <f t="array" ref="R84">IFERROR(IF(G84=G83,R83,CONCATENATE(INDEX(A84:$G$100,SMALL(IF(G84:$G$100=G84,ROW(G84:$G$100)-ROW(G84)+1,ROW($G$100)+1),10),1)," ",INDEX(A84:$G$100,SMALL(IF(G84:$G$100=G84,ROW(G84:$G$100)-ROW(G84)+1,ROW($G$100)+1),10),2))),"")</f>
        <v xml:space="preserve"> </v>
      </c>
    </row>
    <row r="85" spans="1:18" s="7" customFormat="1" x14ac:dyDescent="0.2">
      <c r="A85" s="10"/>
      <c r="B85" s="10"/>
      <c r="C85" s="10"/>
      <c r="D85" s="8" t="str">
        <f t="shared" si="8"/>
        <v/>
      </c>
      <c r="E85" s="8" t="str">
        <f t="shared" si="9"/>
        <v/>
      </c>
      <c r="F85" s="8" t="str">
        <f t="shared" si="10"/>
        <v/>
      </c>
      <c r="G85" s="12"/>
      <c r="H85" s="8" t="str">
        <f t="shared" si="7"/>
        <v/>
      </c>
      <c r="I85" s="7" t="str" cm="1">
        <f t="array" ref="I85">IFERROR(IF(G85=G84,I84,CONCATENATE(INDEX(A85:$G$100,SMALL(IF(G85:$G$100=G85,ROW(G85:$G$100)-ROW(G85)+1,ROW($G$100)+1),1),1)," ",INDEX(A85:$G$100,SMALL(IF(G85:$G$100=G85,ROW(G85:$G$100)-ROW(G85)+1,ROW($G$100)+1),1),2))),"")</f>
        <v xml:space="preserve"> </v>
      </c>
      <c r="J85" s="7" t="str" cm="1">
        <f t="array" ref="J85">IFERROR(IF(G85=G84,J84,CONCATENATE(INDEX(A85:$G$100,SMALL(IF(G85:$G$100=G85,ROW(G85:$G$100)-ROW(G85)+1,ROW($G$100)+1),2),1)," ",INDEX(A85:$G$100,SMALL(IF(G85:$G$100=G85,ROW(G85:$G$100)-ROW(G85)+1,ROW($G$100)+1),2),2))),"")</f>
        <v xml:space="preserve"> </v>
      </c>
      <c r="K85" s="7" t="str" cm="1">
        <f t="array" ref="K85">IFERROR(IF(G85=G84,K84,CONCATENATE(INDEX(A85:$G$100,SMALL(IF(G85:$G$100=G85,ROW(G85:$G$100)-ROW(G85)+1,ROW($G$100)+1),3),1)," ",INDEX(A85:$G$100,SMALL(IF(G85:$G$100=G85,ROW(G85:$G$100)-ROW(G85)+1,ROW($G$100)+1),3),2))),"")</f>
        <v xml:space="preserve"> </v>
      </c>
      <c r="L85" s="7" t="str" cm="1">
        <f t="array" ref="L85">IFERROR(IF(G85=G84,L84,CONCATENATE(INDEX(A85:$G$100,SMALL(IF(G85:$G$100=G85,ROW(G85:$G$100)-ROW(G85)+1,ROW($G$100)+1),4),1)," ",INDEX(A85:$G$100,SMALL(IF(G85:$G$100=G85,ROW(G85:$G$100)-ROW(G85)+1,ROW($G$100)+1),4),2))),"")</f>
        <v xml:space="preserve"> </v>
      </c>
      <c r="M85" s="7" t="str" cm="1">
        <f t="array" ref="M85">IFERROR(IF(G85=G84,M84,CONCATENATE(INDEX(A85:$G$100,SMALL(IF(G85:$G$100=G85,ROW(G85:$G$100)-ROW(G85)+1,ROW($G$100)+1),5),1)," ",INDEX(A85:$G$100,SMALL(IF(G85:$G$100=G85,ROW(G85:$G$100)-ROW(G85)+1,ROW($G$100)+1),5),2))),"")</f>
        <v xml:space="preserve"> </v>
      </c>
      <c r="N85" s="7" t="str" cm="1">
        <f t="array" ref="N85">IFERROR(IF(G85=G84,N84,CONCATENATE(INDEX(A85:$G$100,SMALL(IF(G85:$G$100=G85,ROW(G85:$G$100)-ROW(G85)+1,ROW($G$100)+1),6),1)," ",INDEX(A85:$G$100,SMALL(IF(G85:$G$100=G85,ROW(G85:$G$100)-ROW(G85)+1,ROW($G$100)+1),6),2))),"")</f>
        <v xml:space="preserve"> </v>
      </c>
      <c r="O85" s="7" t="str" cm="1">
        <f t="array" ref="O85">IFERROR(IF(G85=G84,O84,CONCATENATE(INDEX(A85:$G$100,SMALL(IF(G85:$G$100=G85,ROW(G85:$G$100)-ROW(G85)+1,ROW($G$100)+1),7),1)," ",INDEX(A85:$G$100,SMALL(IF(G85:$G$100=G85,ROW(G85:$G$100)-ROW(G85)+1,ROW($G$100)+1),7),2))),"")</f>
        <v xml:space="preserve"> </v>
      </c>
      <c r="P85" s="7" t="str" cm="1">
        <f t="array" ref="P85">IFERROR(IF(G85=G84,P84,CONCATENATE(INDEX(A85:$G$100,SMALL(IF(G85:$G$100=G85,ROW(G85:$G$100)-ROW(G85)+1,ROW($G$100)+1),8),1)," ",INDEX(A85:$G$100,SMALL(IF(G85:$G$100=G85,ROW(G85:$G$100)-ROW(G85)+1,ROW($G$100)+1),8),2))),"")</f>
        <v xml:space="preserve"> </v>
      </c>
      <c r="Q85" s="7" t="str" cm="1">
        <f t="array" ref="Q85">IFERROR(IF(G85=G84,Q84,CONCATENATE(INDEX(A85:$G$100,SMALL(IF(G85:$G$100=G85,ROW(G85:$G$100)-ROW(G85)+1,ROW($G$100)+1),9),1)," ",INDEX(A85:$G$100,SMALL(IF(G85:$G$100=G85,ROW(G85:$G$100)-ROW(G85)+1,ROW($G$100)+1),9),2))),"")</f>
        <v xml:space="preserve"> </v>
      </c>
      <c r="R85" s="7" t="str" cm="1">
        <f t="array" ref="R85">IFERROR(IF(G85=G84,R84,CONCATENATE(INDEX(A85:$G$100,SMALL(IF(G85:$G$100=G85,ROW(G85:$G$100)-ROW(G85)+1,ROW($G$100)+1),10),1)," ",INDEX(A85:$G$100,SMALL(IF(G85:$G$100=G85,ROW(G85:$G$100)-ROW(G85)+1,ROW($G$100)+1),10),2))),"")</f>
        <v xml:space="preserve"> </v>
      </c>
    </row>
    <row r="86" spans="1:18" x14ac:dyDescent="0.2">
      <c r="A86" s="3"/>
      <c r="B86" s="3"/>
      <c r="C86" s="3"/>
      <c r="D86" s="2" t="str">
        <f t="shared" si="8"/>
        <v/>
      </c>
      <c r="E86" s="2" t="str">
        <f t="shared" si="9"/>
        <v/>
      </c>
      <c r="F86" s="2" t="str">
        <f t="shared" si="10"/>
        <v/>
      </c>
      <c r="G86" s="4"/>
      <c r="H86" s="2" t="str">
        <f t="shared" si="7"/>
        <v/>
      </c>
      <c r="I86" s="1" t="str" cm="1">
        <f t="array" ref="I86">IFERROR(IF(G86=G85,I85,CONCATENATE(INDEX(A86:$G$100,SMALL(IF(G86:$G$100=G86,ROW(G86:$G$100)-ROW(G86)+1,ROW($G$100)+1),1),1)," ",INDEX(A86:$G$100,SMALL(IF(G86:$G$100=G86,ROW(G86:$G$100)-ROW(G86)+1,ROW($G$100)+1),1),2))),"")</f>
        <v xml:space="preserve"> </v>
      </c>
      <c r="J86" s="1" t="str" cm="1">
        <f t="array" ref="J86">IFERROR(IF(G86=G85,J85,CONCATENATE(INDEX(A86:$G$100,SMALL(IF(G86:$G$100=G86,ROW(G86:$G$100)-ROW(G86)+1,ROW($G$100)+1),2),1)," ",INDEX(A86:$G$100,SMALL(IF(G86:$G$100=G86,ROW(G86:$G$100)-ROW(G86)+1,ROW($G$100)+1),2),2))),"")</f>
        <v xml:space="preserve"> </v>
      </c>
      <c r="K86" s="1" t="str" cm="1">
        <f t="array" ref="K86">IFERROR(IF(G86=G85,K85,CONCATENATE(INDEX(A86:$G$100,SMALL(IF(G86:$G$100=G86,ROW(G86:$G$100)-ROW(G86)+1,ROW($G$100)+1),3),1)," ",INDEX(A86:$G$100,SMALL(IF(G86:$G$100=G86,ROW(G86:$G$100)-ROW(G86)+1,ROW($G$100)+1),3),2))),"")</f>
        <v xml:space="preserve"> </v>
      </c>
      <c r="L86" s="1" t="str" cm="1">
        <f t="array" ref="L86">IFERROR(IF(G86=G85,L85,CONCATENATE(INDEX(A86:$G$100,SMALL(IF(G86:$G$100=G86,ROW(G86:$G$100)-ROW(G86)+1,ROW($G$100)+1),4),1)," ",INDEX(A86:$G$100,SMALL(IF(G86:$G$100=G86,ROW(G86:$G$100)-ROW(G86)+1,ROW($G$100)+1),4),2))),"")</f>
        <v xml:space="preserve"> </v>
      </c>
      <c r="M86" s="1" t="str" cm="1">
        <f t="array" ref="M86">IFERROR(IF(G86=G85,M85,CONCATENATE(INDEX(A86:$G$100,SMALL(IF(G86:$G$100=G86,ROW(G86:$G$100)-ROW(G86)+1,ROW($G$100)+1),5),1)," ",INDEX(A86:$G$100,SMALL(IF(G86:$G$100=G86,ROW(G86:$G$100)-ROW(G86)+1,ROW($G$100)+1),5),2))),"")</f>
        <v xml:space="preserve"> </v>
      </c>
      <c r="N86" s="1" t="str" cm="1">
        <f t="array" ref="N86">IFERROR(IF(G86=G85,N85,CONCATENATE(INDEX(A86:$G$100,SMALL(IF(G86:$G$100=G86,ROW(G86:$G$100)-ROW(G86)+1,ROW($G$100)+1),6),1)," ",INDEX(A86:$G$100,SMALL(IF(G86:$G$100=G86,ROW(G86:$G$100)-ROW(G86)+1,ROW($G$100)+1),6),2))),"")</f>
        <v xml:space="preserve"> </v>
      </c>
      <c r="O86" s="1" t="str" cm="1">
        <f t="array" ref="O86">IFERROR(IF(G86=G85,O85,CONCATENATE(INDEX(A86:$G$100,SMALL(IF(G86:$G$100=G86,ROW(G86:$G$100)-ROW(G86)+1,ROW($G$100)+1),7),1)," ",INDEX(A86:$G$100,SMALL(IF(G86:$G$100=G86,ROW(G86:$G$100)-ROW(G86)+1,ROW($G$100)+1),7),2))),"")</f>
        <v xml:space="preserve"> </v>
      </c>
      <c r="P86" s="1" t="str" cm="1">
        <f t="array" ref="P86">IFERROR(IF(G86=G85,P85,CONCATENATE(INDEX(A86:$G$100,SMALL(IF(G86:$G$100=G86,ROW(G86:$G$100)-ROW(G86)+1,ROW($G$100)+1),8),1)," ",INDEX(A86:$G$100,SMALL(IF(G86:$G$100=G86,ROW(G86:$G$100)-ROW(G86)+1,ROW($G$100)+1),8),2))),"")</f>
        <v xml:space="preserve"> </v>
      </c>
      <c r="Q86" s="1" t="str" cm="1">
        <f t="array" ref="Q86">IFERROR(IF(G86=G85,Q85,CONCATENATE(INDEX(A86:$G$100,SMALL(IF(G86:$G$100=G86,ROW(G86:$G$100)-ROW(G86)+1,ROW($G$100)+1),9),1)," ",INDEX(A86:$G$100,SMALL(IF(G86:$G$100=G86,ROW(G86:$G$100)-ROW(G86)+1,ROW($G$100)+1),9),2))),"")</f>
        <v xml:space="preserve"> </v>
      </c>
      <c r="R86" s="1" t="str" cm="1">
        <f t="array" ref="R86">IFERROR(IF(G86=G85,R85,CONCATENATE(INDEX(A86:$G$100,SMALL(IF(G86:$G$100=G86,ROW(G86:$G$100)-ROW(G86)+1,ROW($G$100)+1),10),1)," ",INDEX(A86:$G$100,SMALL(IF(G86:$G$100=G86,ROW(G86:$G$100)-ROW(G86)+1,ROW($G$100)+1),10),2))),"")</f>
        <v xml:space="preserve"> </v>
      </c>
    </row>
    <row r="87" spans="1:18" s="7" customFormat="1" x14ac:dyDescent="0.2">
      <c r="A87" s="10"/>
      <c r="B87" s="10"/>
      <c r="C87" s="10"/>
      <c r="D87" s="8" t="str">
        <f t="shared" si="8"/>
        <v/>
      </c>
      <c r="E87" s="8" t="str">
        <f t="shared" si="9"/>
        <v/>
      </c>
      <c r="F87" s="8" t="str">
        <f t="shared" si="10"/>
        <v/>
      </c>
      <c r="G87" s="12"/>
      <c r="H87" s="8" t="str">
        <f t="shared" si="7"/>
        <v/>
      </c>
      <c r="I87" s="7" t="str" cm="1">
        <f t="array" ref="I87">IFERROR(IF(G87=G86,I86,CONCATENATE(INDEX(A87:$G$100,SMALL(IF(G87:$G$100=G87,ROW(G87:$G$100)-ROW(G87)+1,ROW($G$100)+1),1),1)," ",INDEX(A87:$G$100,SMALL(IF(G87:$G$100=G87,ROW(G87:$G$100)-ROW(G87)+1,ROW($G$100)+1),1),2))),"")</f>
        <v xml:space="preserve"> </v>
      </c>
      <c r="J87" s="7" t="str" cm="1">
        <f t="array" ref="J87">IFERROR(IF(G87=G86,J86,CONCATENATE(INDEX(A87:$G$100,SMALL(IF(G87:$G$100=G87,ROW(G87:$G$100)-ROW(G87)+1,ROW($G$100)+1),2),1)," ",INDEX(A87:$G$100,SMALL(IF(G87:$G$100=G87,ROW(G87:$G$100)-ROW(G87)+1,ROW($G$100)+1),2),2))),"")</f>
        <v xml:space="preserve"> </v>
      </c>
      <c r="K87" s="7" t="str" cm="1">
        <f t="array" ref="K87">IFERROR(IF(G87=G86,K86,CONCATENATE(INDEX(A87:$G$100,SMALL(IF(G87:$G$100=G87,ROW(G87:$G$100)-ROW(G87)+1,ROW($G$100)+1),3),1)," ",INDEX(A87:$G$100,SMALL(IF(G87:$G$100=G87,ROW(G87:$G$100)-ROW(G87)+1,ROW($G$100)+1),3),2))),"")</f>
        <v xml:space="preserve"> </v>
      </c>
      <c r="L87" s="7" t="str" cm="1">
        <f t="array" ref="L87">IFERROR(IF(G87=G86,L86,CONCATENATE(INDEX(A87:$G$100,SMALL(IF(G87:$G$100=G87,ROW(G87:$G$100)-ROW(G87)+1,ROW($G$100)+1),4),1)," ",INDEX(A87:$G$100,SMALL(IF(G87:$G$100=G87,ROW(G87:$G$100)-ROW(G87)+1,ROW($G$100)+1),4),2))),"")</f>
        <v xml:space="preserve"> </v>
      </c>
      <c r="M87" s="7" t="str" cm="1">
        <f t="array" ref="M87">IFERROR(IF(G87=G86,M86,CONCATENATE(INDEX(A87:$G$100,SMALL(IF(G87:$G$100=G87,ROW(G87:$G$100)-ROW(G87)+1,ROW($G$100)+1),5),1)," ",INDEX(A87:$G$100,SMALL(IF(G87:$G$100=G87,ROW(G87:$G$100)-ROW(G87)+1,ROW($G$100)+1),5),2))),"")</f>
        <v xml:space="preserve"> </v>
      </c>
      <c r="N87" s="7" t="str" cm="1">
        <f t="array" ref="N87">IFERROR(IF(G87=G86,N86,CONCATENATE(INDEX(A87:$G$100,SMALL(IF(G87:$G$100=G87,ROW(G87:$G$100)-ROW(G87)+1,ROW($G$100)+1),6),1)," ",INDEX(A87:$G$100,SMALL(IF(G87:$G$100=G87,ROW(G87:$G$100)-ROW(G87)+1,ROW($G$100)+1),6),2))),"")</f>
        <v xml:space="preserve"> </v>
      </c>
      <c r="O87" s="7" t="str" cm="1">
        <f t="array" ref="O87">IFERROR(IF(G87=G86,O86,CONCATENATE(INDEX(A87:$G$100,SMALL(IF(G87:$G$100=G87,ROW(G87:$G$100)-ROW(G87)+1,ROW($G$100)+1),7),1)," ",INDEX(A87:$G$100,SMALL(IF(G87:$G$100=G87,ROW(G87:$G$100)-ROW(G87)+1,ROW($G$100)+1),7),2))),"")</f>
        <v xml:space="preserve"> </v>
      </c>
      <c r="P87" s="7" t="str" cm="1">
        <f t="array" ref="P87">IFERROR(IF(G87=G86,P86,CONCATENATE(INDEX(A87:$G$100,SMALL(IF(G87:$G$100=G87,ROW(G87:$G$100)-ROW(G87)+1,ROW($G$100)+1),8),1)," ",INDEX(A87:$G$100,SMALL(IF(G87:$G$100=G87,ROW(G87:$G$100)-ROW(G87)+1,ROW($G$100)+1),8),2))),"")</f>
        <v xml:space="preserve"> </v>
      </c>
      <c r="Q87" s="7" t="str" cm="1">
        <f t="array" ref="Q87">IFERROR(IF(G87=G86,Q86,CONCATENATE(INDEX(A87:$G$100,SMALL(IF(G87:$G$100=G87,ROW(G87:$G$100)-ROW(G87)+1,ROW($G$100)+1),9),1)," ",INDEX(A87:$G$100,SMALL(IF(G87:$G$100=G87,ROW(G87:$G$100)-ROW(G87)+1,ROW($G$100)+1),9),2))),"")</f>
        <v xml:space="preserve"> </v>
      </c>
      <c r="R87" s="7" t="str" cm="1">
        <f t="array" ref="R87">IFERROR(IF(G87=G86,R86,CONCATENATE(INDEX(A87:$G$100,SMALL(IF(G87:$G$100=G87,ROW(G87:$G$100)-ROW(G87)+1,ROW($G$100)+1),10),1)," ",INDEX(A87:$G$100,SMALL(IF(G87:$G$100=G87,ROW(G87:$G$100)-ROW(G87)+1,ROW($G$100)+1),10),2))),"")</f>
        <v xml:space="preserve"> </v>
      </c>
    </row>
    <row r="88" spans="1:18" x14ac:dyDescent="0.2">
      <c r="A88" s="3"/>
      <c r="B88" s="3"/>
      <c r="C88" s="3"/>
      <c r="D88" s="2" t="str">
        <f t="shared" si="8"/>
        <v/>
      </c>
      <c r="E88" s="2" t="str">
        <f t="shared" si="9"/>
        <v/>
      </c>
      <c r="F88" s="2" t="str">
        <f t="shared" si="10"/>
        <v/>
      </c>
      <c r="G88" s="4"/>
      <c r="H88" s="2" t="str">
        <f t="shared" si="7"/>
        <v/>
      </c>
      <c r="I88" s="1" t="str" cm="1">
        <f t="array" ref="I88">IFERROR(IF(G88=G87,I87,CONCATENATE(INDEX(A88:$G$100,SMALL(IF(G88:$G$100=G88,ROW(G88:$G$100)-ROW(G88)+1,ROW($G$100)+1),1),1)," ",INDEX(A88:$G$100,SMALL(IF(G88:$G$100=G88,ROW(G88:$G$100)-ROW(G88)+1,ROW($G$100)+1),1),2))),"")</f>
        <v xml:space="preserve"> </v>
      </c>
      <c r="J88" s="1" t="str" cm="1">
        <f t="array" ref="J88">IFERROR(IF(G88=G87,J87,CONCATENATE(INDEX(A88:$G$100,SMALL(IF(G88:$G$100=G88,ROW(G88:$G$100)-ROW(G88)+1,ROW($G$100)+1),2),1)," ",INDEX(A88:$G$100,SMALL(IF(G88:$G$100=G88,ROW(G88:$G$100)-ROW(G88)+1,ROW($G$100)+1),2),2))),"")</f>
        <v xml:space="preserve"> </v>
      </c>
      <c r="K88" s="1" t="str" cm="1">
        <f t="array" ref="K88">IFERROR(IF(G88=G87,K87,CONCATENATE(INDEX(A88:$G$100,SMALL(IF(G88:$G$100=G88,ROW(G88:$G$100)-ROW(G88)+1,ROW($G$100)+1),3),1)," ",INDEX(A88:$G$100,SMALL(IF(G88:$G$100=G88,ROW(G88:$G$100)-ROW(G88)+1,ROW($G$100)+1),3),2))),"")</f>
        <v xml:space="preserve"> </v>
      </c>
      <c r="L88" s="1" t="str" cm="1">
        <f t="array" ref="L88">IFERROR(IF(G88=G87,L87,CONCATENATE(INDEX(A88:$G$100,SMALL(IF(G88:$G$100=G88,ROW(G88:$G$100)-ROW(G88)+1,ROW($G$100)+1),4),1)," ",INDEX(A88:$G$100,SMALL(IF(G88:$G$100=G88,ROW(G88:$G$100)-ROW(G88)+1,ROW($G$100)+1),4),2))),"")</f>
        <v xml:space="preserve"> </v>
      </c>
      <c r="M88" s="1" t="str" cm="1">
        <f t="array" ref="M88">IFERROR(IF(G88=G87,M87,CONCATENATE(INDEX(A88:$G$100,SMALL(IF(G88:$G$100=G88,ROW(G88:$G$100)-ROW(G88)+1,ROW($G$100)+1),5),1)," ",INDEX(A88:$G$100,SMALL(IF(G88:$G$100=G88,ROW(G88:$G$100)-ROW(G88)+1,ROW($G$100)+1),5),2))),"")</f>
        <v xml:space="preserve"> </v>
      </c>
      <c r="N88" s="1" t="str" cm="1">
        <f t="array" ref="N88">IFERROR(IF(G88=G87,N87,CONCATENATE(INDEX(A88:$G$100,SMALL(IF(G88:$G$100=G88,ROW(G88:$G$100)-ROW(G88)+1,ROW($G$100)+1),6),1)," ",INDEX(A88:$G$100,SMALL(IF(G88:$G$100=G88,ROW(G88:$G$100)-ROW(G88)+1,ROW($G$100)+1),6),2))),"")</f>
        <v xml:space="preserve"> </v>
      </c>
      <c r="O88" s="1" t="str" cm="1">
        <f t="array" ref="O88">IFERROR(IF(G88=G87,O87,CONCATENATE(INDEX(A88:$G$100,SMALL(IF(G88:$G$100=G88,ROW(G88:$G$100)-ROW(G88)+1,ROW($G$100)+1),7),1)," ",INDEX(A88:$G$100,SMALL(IF(G88:$G$100=G88,ROW(G88:$G$100)-ROW(G88)+1,ROW($G$100)+1),7),2))),"")</f>
        <v xml:space="preserve"> </v>
      </c>
      <c r="P88" s="1" t="str" cm="1">
        <f t="array" ref="P88">IFERROR(IF(G88=G87,P87,CONCATENATE(INDEX(A88:$G$100,SMALL(IF(G88:$G$100=G88,ROW(G88:$G$100)-ROW(G88)+1,ROW($G$100)+1),8),1)," ",INDEX(A88:$G$100,SMALL(IF(G88:$G$100=G88,ROW(G88:$G$100)-ROW(G88)+1,ROW($G$100)+1),8),2))),"")</f>
        <v xml:space="preserve"> </v>
      </c>
      <c r="Q88" s="1" t="str" cm="1">
        <f t="array" ref="Q88">IFERROR(IF(G88=G87,Q87,CONCATENATE(INDEX(A88:$G$100,SMALL(IF(G88:$G$100=G88,ROW(G88:$G$100)-ROW(G88)+1,ROW($G$100)+1),9),1)," ",INDEX(A88:$G$100,SMALL(IF(G88:$G$100=G88,ROW(G88:$G$100)-ROW(G88)+1,ROW($G$100)+1),9),2))),"")</f>
        <v xml:space="preserve"> </v>
      </c>
      <c r="R88" s="1" t="str" cm="1">
        <f t="array" ref="R88">IFERROR(IF(G88=G87,R87,CONCATENATE(INDEX(A88:$G$100,SMALL(IF(G88:$G$100=G88,ROW(G88:$G$100)-ROW(G88)+1,ROW($G$100)+1),10),1)," ",INDEX(A88:$G$100,SMALL(IF(G88:$G$100=G88,ROW(G88:$G$100)-ROW(G88)+1,ROW($G$100)+1),10),2))),"")</f>
        <v xml:space="preserve"> </v>
      </c>
    </row>
    <row r="89" spans="1:18" s="7" customFormat="1" x14ac:dyDescent="0.2">
      <c r="A89" s="10"/>
      <c r="B89" s="10"/>
      <c r="C89" s="10"/>
      <c r="D89" s="8" t="str">
        <f t="shared" si="8"/>
        <v/>
      </c>
      <c r="E89" s="8" t="str">
        <f t="shared" si="9"/>
        <v/>
      </c>
      <c r="F89" s="8" t="str">
        <f t="shared" si="10"/>
        <v/>
      </c>
      <c r="G89" s="12"/>
      <c r="H89" s="8" t="str">
        <f t="shared" si="7"/>
        <v/>
      </c>
      <c r="I89" s="7" t="str" cm="1">
        <f t="array" ref="I89">IFERROR(IF(G89=G88,I88,CONCATENATE(INDEX(A89:$G$100,SMALL(IF(G89:$G$100=G89,ROW(G89:$G$100)-ROW(G89)+1,ROW($G$100)+1),1),1)," ",INDEX(A89:$G$100,SMALL(IF(G89:$G$100=G89,ROW(G89:$G$100)-ROW(G89)+1,ROW($G$100)+1),1),2))),"")</f>
        <v xml:space="preserve"> </v>
      </c>
      <c r="J89" s="7" t="str" cm="1">
        <f t="array" ref="J89">IFERROR(IF(G89=G88,J88,CONCATENATE(INDEX(A89:$G$100,SMALL(IF(G89:$G$100=G89,ROW(G89:$G$100)-ROW(G89)+1,ROW($G$100)+1),2),1)," ",INDEX(A89:$G$100,SMALL(IF(G89:$G$100=G89,ROW(G89:$G$100)-ROW(G89)+1,ROW($G$100)+1),2),2))),"")</f>
        <v xml:space="preserve"> </v>
      </c>
      <c r="K89" s="7" t="str" cm="1">
        <f t="array" ref="K89">IFERROR(IF(G89=G88,K88,CONCATENATE(INDEX(A89:$G$100,SMALL(IF(G89:$G$100=G89,ROW(G89:$G$100)-ROW(G89)+1,ROW($G$100)+1),3),1)," ",INDEX(A89:$G$100,SMALL(IF(G89:$G$100=G89,ROW(G89:$G$100)-ROW(G89)+1,ROW($G$100)+1),3),2))),"")</f>
        <v xml:space="preserve"> </v>
      </c>
      <c r="L89" s="7" t="str" cm="1">
        <f t="array" ref="L89">IFERROR(IF(G89=G88,L88,CONCATENATE(INDEX(A89:$G$100,SMALL(IF(G89:$G$100=G89,ROW(G89:$G$100)-ROW(G89)+1,ROW($G$100)+1),4),1)," ",INDEX(A89:$G$100,SMALL(IF(G89:$G$100=G89,ROW(G89:$G$100)-ROW(G89)+1,ROW($G$100)+1),4),2))),"")</f>
        <v xml:space="preserve"> </v>
      </c>
      <c r="M89" s="7" t="str" cm="1">
        <f t="array" ref="M89">IFERROR(IF(G89=G88,M88,CONCATENATE(INDEX(A89:$G$100,SMALL(IF(G89:$G$100=G89,ROW(G89:$G$100)-ROW(G89)+1,ROW($G$100)+1),5),1)," ",INDEX(A89:$G$100,SMALL(IF(G89:$G$100=G89,ROW(G89:$G$100)-ROW(G89)+1,ROW($G$100)+1),5),2))),"")</f>
        <v xml:space="preserve"> </v>
      </c>
      <c r="N89" s="7" t="str" cm="1">
        <f t="array" ref="N89">IFERROR(IF(G89=G88,N88,CONCATENATE(INDEX(A89:$G$100,SMALL(IF(G89:$G$100=G89,ROW(G89:$G$100)-ROW(G89)+1,ROW($G$100)+1),6),1)," ",INDEX(A89:$G$100,SMALL(IF(G89:$G$100=G89,ROW(G89:$G$100)-ROW(G89)+1,ROW($G$100)+1),6),2))),"")</f>
        <v xml:space="preserve"> </v>
      </c>
      <c r="O89" s="7" t="str" cm="1">
        <f t="array" ref="O89">IFERROR(IF(G89=G88,O88,CONCATENATE(INDEX(A89:$G$100,SMALL(IF(G89:$G$100=G89,ROW(G89:$G$100)-ROW(G89)+1,ROW($G$100)+1),7),1)," ",INDEX(A89:$G$100,SMALL(IF(G89:$G$100=G89,ROW(G89:$G$100)-ROW(G89)+1,ROW($G$100)+1),7),2))),"")</f>
        <v xml:space="preserve"> </v>
      </c>
      <c r="P89" s="7" t="str" cm="1">
        <f t="array" ref="P89">IFERROR(IF(G89=G88,P88,CONCATENATE(INDEX(A89:$G$100,SMALL(IF(G89:$G$100=G89,ROW(G89:$G$100)-ROW(G89)+1,ROW($G$100)+1),8),1)," ",INDEX(A89:$G$100,SMALL(IF(G89:$G$100=G89,ROW(G89:$G$100)-ROW(G89)+1,ROW($G$100)+1),8),2))),"")</f>
        <v xml:space="preserve"> </v>
      </c>
      <c r="Q89" s="7" t="str" cm="1">
        <f t="array" ref="Q89">IFERROR(IF(G89=G88,Q88,CONCATENATE(INDEX(A89:$G$100,SMALL(IF(G89:$G$100=G89,ROW(G89:$G$100)-ROW(G89)+1,ROW($G$100)+1),9),1)," ",INDEX(A89:$G$100,SMALL(IF(G89:$G$100=G89,ROW(G89:$G$100)-ROW(G89)+1,ROW($G$100)+1),9),2))),"")</f>
        <v xml:space="preserve"> </v>
      </c>
      <c r="R89" s="7" t="str" cm="1">
        <f t="array" ref="R89">IFERROR(IF(G89=G88,R88,CONCATENATE(INDEX(A89:$G$100,SMALL(IF(G89:$G$100=G89,ROW(G89:$G$100)-ROW(G89)+1,ROW($G$100)+1),10),1)," ",INDEX(A89:$G$100,SMALL(IF(G89:$G$100=G89,ROW(G89:$G$100)-ROW(G89)+1,ROW($G$100)+1),10),2))),"")</f>
        <v xml:space="preserve"> </v>
      </c>
    </row>
    <row r="90" spans="1:18" x14ac:dyDescent="0.2">
      <c r="A90" s="3"/>
      <c r="B90" s="3"/>
      <c r="C90" s="3"/>
      <c r="D90" s="2" t="str">
        <f t="shared" si="8"/>
        <v/>
      </c>
      <c r="E90" s="2" t="str">
        <f t="shared" si="9"/>
        <v/>
      </c>
      <c r="F90" s="2" t="str">
        <f t="shared" si="10"/>
        <v/>
      </c>
      <c r="G90" s="4"/>
      <c r="H90" s="2" t="str">
        <f t="shared" si="7"/>
        <v/>
      </c>
      <c r="I90" s="1" t="str" cm="1">
        <f t="array" ref="I90">IFERROR(IF(G90=G89,I89,CONCATENATE(INDEX(A90:$G$100,SMALL(IF(G90:$G$100=G90,ROW(G90:$G$100)-ROW(G90)+1,ROW($G$100)+1),1),1)," ",INDEX(A90:$G$100,SMALL(IF(G90:$G$100=G90,ROW(G90:$G$100)-ROW(G90)+1,ROW($G$100)+1),1),2))),"")</f>
        <v xml:space="preserve"> </v>
      </c>
      <c r="J90" s="1" t="str" cm="1">
        <f t="array" ref="J90">IFERROR(IF(G90=G89,J89,CONCATENATE(INDEX(A90:$G$100,SMALL(IF(G90:$G$100=G90,ROW(G90:$G$100)-ROW(G90)+1,ROW($G$100)+1),2),1)," ",INDEX(A90:$G$100,SMALL(IF(G90:$G$100=G90,ROW(G90:$G$100)-ROW(G90)+1,ROW($G$100)+1),2),2))),"")</f>
        <v xml:space="preserve"> </v>
      </c>
      <c r="K90" s="1" t="str" cm="1">
        <f t="array" ref="K90">IFERROR(IF(G90=G89,K89,CONCATENATE(INDEX(A90:$G$100,SMALL(IF(G90:$G$100=G90,ROW(G90:$G$100)-ROW(G90)+1,ROW($G$100)+1),3),1)," ",INDEX(A90:$G$100,SMALL(IF(G90:$G$100=G90,ROW(G90:$G$100)-ROW(G90)+1,ROW($G$100)+1),3),2))),"")</f>
        <v xml:space="preserve"> </v>
      </c>
      <c r="L90" s="1" t="str" cm="1">
        <f t="array" ref="L90">IFERROR(IF(G90=G89,L89,CONCATENATE(INDEX(A90:$G$100,SMALL(IF(G90:$G$100=G90,ROW(G90:$G$100)-ROW(G90)+1,ROW($G$100)+1),4),1)," ",INDEX(A90:$G$100,SMALL(IF(G90:$G$100=G90,ROW(G90:$G$100)-ROW(G90)+1,ROW($G$100)+1),4),2))),"")</f>
        <v xml:space="preserve"> </v>
      </c>
      <c r="M90" s="1" t="str" cm="1">
        <f t="array" ref="M90">IFERROR(IF(G90=G89,M89,CONCATENATE(INDEX(A90:$G$100,SMALL(IF(G90:$G$100=G90,ROW(G90:$G$100)-ROW(G90)+1,ROW($G$100)+1),5),1)," ",INDEX(A90:$G$100,SMALL(IF(G90:$G$100=G90,ROW(G90:$G$100)-ROW(G90)+1,ROW($G$100)+1),5),2))),"")</f>
        <v xml:space="preserve"> </v>
      </c>
      <c r="N90" s="1" t="str" cm="1">
        <f t="array" ref="N90">IFERROR(IF(G90=G89,N89,CONCATENATE(INDEX(A90:$G$100,SMALL(IF(G90:$G$100=G90,ROW(G90:$G$100)-ROW(G90)+1,ROW($G$100)+1),6),1)," ",INDEX(A90:$G$100,SMALL(IF(G90:$G$100=G90,ROW(G90:$G$100)-ROW(G90)+1,ROW($G$100)+1),6),2))),"")</f>
        <v xml:space="preserve"> </v>
      </c>
      <c r="O90" s="1" t="str" cm="1">
        <f t="array" ref="O90">IFERROR(IF(G90=G89,O89,CONCATENATE(INDEX(A90:$G$100,SMALL(IF(G90:$G$100=G90,ROW(G90:$G$100)-ROW(G90)+1,ROW($G$100)+1),7),1)," ",INDEX(A90:$G$100,SMALL(IF(G90:$G$100=G90,ROW(G90:$G$100)-ROW(G90)+1,ROW($G$100)+1),7),2))),"")</f>
        <v xml:space="preserve"> </v>
      </c>
      <c r="P90" s="1" t="str" cm="1">
        <f t="array" ref="P90">IFERROR(IF(G90=G89,P89,CONCATENATE(INDEX(A90:$G$100,SMALL(IF(G90:$G$100=G90,ROW(G90:$G$100)-ROW(G90)+1,ROW($G$100)+1),8),1)," ",INDEX(A90:$G$100,SMALL(IF(G90:$G$100=G90,ROW(G90:$G$100)-ROW(G90)+1,ROW($G$100)+1),8),2))),"")</f>
        <v xml:space="preserve"> </v>
      </c>
      <c r="Q90" s="1" t="str" cm="1">
        <f t="array" ref="Q90">IFERROR(IF(G90=G89,Q89,CONCATENATE(INDEX(A90:$G$100,SMALL(IF(G90:$G$100=G90,ROW(G90:$G$100)-ROW(G90)+1,ROW($G$100)+1),9),1)," ",INDEX(A90:$G$100,SMALL(IF(G90:$G$100=G90,ROW(G90:$G$100)-ROW(G90)+1,ROW($G$100)+1),9),2))),"")</f>
        <v xml:space="preserve"> </v>
      </c>
      <c r="R90" s="1" t="str" cm="1">
        <f t="array" ref="R90">IFERROR(IF(G90=G89,R89,CONCATENATE(INDEX(A90:$G$100,SMALL(IF(G90:$G$100=G90,ROW(G90:$G$100)-ROW(G90)+1,ROW($G$100)+1),10),1)," ",INDEX(A90:$G$100,SMALL(IF(G90:$G$100=G90,ROW(G90:$G$100)-ROW(G90)+1,ROW($G$100)+1),10),2))),"")</f>
        <v xml:space="preserve"> </v>
      </c>
    </row>
    <row r="91" spans="1:18" s="7" customFormat="1" x14ac:dyDescent="0.2">
      <c r="A91" s="10"/>
      <c r="B91" s="10"/>
      <c r="C91" s="10"/>
      <c r="D91" s="8" t="str">
        <f t="shared" si="8"/>
        <v/>
      </c>
      <c r="E91" s="8" t="str">
        <f t="shared" si="9"/>
        <v/>
      </c>
      <c r="F91" s="8" t="str">
        <f t="shared" si="10"/>
        <v/>
      </c>
      <c r="G91" s="12"/>
      <c r="H91" s="8" t="str">
        <f t="shared" si="7"/>
        <v/>
      </c>
      <c r="I91" s="7" t="str" cm="1">
        <f t="array" ref="I91">IFERROR(IF(G91=G90,I90,CONCATENATE(INDEX(A91:$G$100,SMALL(IF(G91:$G$100=G91,ROW(G91:$G$100)-ROW(G91)+1,ROW($G$100)+1),1),1)," ",INDEX(A91:$G$100,SMALL(IF(G91:$G$100=G91,ROW(G91:$G$100)-ROW(G91)+1,ROW($G$100)+1),1),2))),"")</f>
        <v xml:space="preserve"> </v>
      </c>
      <c r="J91" s="7" t="str" cm="1">
        <f t="array" ref="J91">IFERROR(IF(G91=G90,J90,CONCATENATE(INDEX(A91:$G$100,SMALL(IF(G91:$G$100=G91,ROW(G91:$G$100)-ROW(G91)+1,ROW($G$100)+1),2),1)," ",INDEX(A91:$G$100,SMALL(IF(G91:$G$100=G91,ROW(G91:$G$100)-ROW(G91)+1,ROW($G$100)+1),2),2))),"")</f>
        <v xml:space="preserve"> </v>
      </c>
      <c r="K91" s="7" t="str" cm="1">
        <f t="array" ref="K91">IFERROR(IF(G91=G90,K90,CONCATENATE(INDEX(A91:$G$100,SMALL(IF(G91:$G$100=G91,ROW(G91:$G$100)-ROW(G91)+1,ROW($G$100)+1),3),1)," ",INDEX(A91:$G$100,SMALL(IF(G91:$G$100=G91,ROW(G91:$G$100)-ROW(G91)+1,ROW($G$100)+1),3),2))),"")</f>
        <v xml:space="preserve"> </v>
      </c>
      <c r="L91" s="7" t="str" cm="1">
        <f t="array" ref="L91">IFERROR(IF(G91=G90,L90,CONCATENATE(INDEX(A91:$G$100,SMALL(IF(G91:$G$100=G91,ROW(G91:$G$100)-ROW(G91)+1,ROW($G$100)+1),4),1)," ",INDEX(A91:$G$100,SMALL(IF(G91:$G$100=G91,ROW(G91:$G$100)-ROW(G91)+1,ROW($G$100)+1),4),2))),"")</f>
        <v xml:space="preserve"> </v>
      </c>
      <c r="M91" s="7" t="str" cm="1">
        <f t="array" ref="M91">IFERROR(IF(G91=G90,M90,CONCATENATE(INDEX(A91:$G$100,SMALL(IF(G91:$G$100=G91,ROW(G91:$G$100)-ROW(G91)+1,ROW($G$100)+1),5),1)," ",INDEX(A91:$G$100,SMALL(IF(G91:$G$100=G91,ROW(G91:$G$100)-ROW(G91)+1,ROW($G$100)+1),5),2))),"")</f>
        <v xml:space="preserve"> </v>
      </c>
      <c r="N91" s="7" t="str" cm="1">
        <f t="array" ref="N91">IFERROR(IF(G91=G90,N90,CONCATENATE(INDEX(A91:$G$100,SMALL(IF(G91:$G$100=G91,ROW(G91:$G$100)-ROW(G91)+1,ROW($G$100)+1),6),1)," ",INDEX(A91:$G$100,SMALL(IF(G91:$G$100=G91,ROW(G91:$G$100)-ROW(G91)+1,ROW($G$100)+1),6),2))),"")</f>
        <v xml:space="preserve"> </v>
      </c>
      <c r="O91" s="7" t="str" cm="1">
        <f t="array" ref="O91">IFERROR(IF(G91=G90,O90,CONCATENATE(INDEX(A91:$G$100,SMALL(IF(G91:$G$100=G91,ROW(G91:$G$100)-ROW(G91)+1,ROW($G$100)+1),7),1)," ",INDEX(A91:$G$100,SMALL(IF(G91:$G$100=G91,ROW(G91:$G$100)-ROW(G91)+1,ROW($G$100)+1),7),2))),"")</f>
        <v xml:space="preserve"> </v>
      </c>
      <c r="P91" s="7" t="str" cm="1">
        <f t="array" ref="P91">IFERROR(IF(G91=G90,P90,CONCATENATE(INDEX(A91:$G$100,SMALL(IF(G91:$G$100=G91,ROW(G91:$G$100)-ROW(G91)+1,ROW($G$100)+1),8),1)," ",INDEX(A91:$G$100,SMALL(IF(G91:$G$100=G91,ROW(G91:$G$100)-ROW(G91)+1,ROW($G$100)+1),8),2))),"")</f>
        <v xml:space="preserve"> </v>
      </c>
      <c r="Q91" s="7" t="str" cm="1">
        <f t="array" ref="Q91">IFERROR(IF(G91=G90,Q90,CONCATENATE(INDEX(A91:$G$100,SMALL(IF(G91:$G$100=G91,ROW(G91:$G$100)-ROW(G91)+1,ROW($G$100)+1),9),1)," ",INDEX(A91:$G$100,SMALL(IF(G91:$G$100=G91,ROW(G91:$G$100)-ROW(G91)+1,ROW($G$100)+1),9),2))),"")</f>
        <v xml:space="preserve"> </v>
      </c>
      <c r="R91" s="7" t="str" cm="1">
        <f t="array" ref="R91">IFERROR(IF(G91=G90,R90,CONCATENATE(INDEX(A91:$G$100,SMALL(IF(G91:$G$100=G91,ROW(G91:$G$100)-ROW(G91)+1,ROW($G$100)+1),10),1)," ",INDEX(A91:$G$100,SMALL(IF(G91:$G$100=G91,ROW(G91:$G$100)-ROW(G91)+1,ROW($G$100)+1),10),2))),"")</f>
        <v xml:space="preserve"> </v>
      </c>
    </row>
    <row r="92" spans="1:18" x14ac:dyDescent="0.2">
      <c r="A92" s="3"/>
      <c r="B92" s="3"/>
      <c r="C92" s="3"/>
      <c r="D92" s="2" t="str">
        <f t="shared" si="8"/>
        <v/>
      </c>
      <c r="E92" s="2" t="str">
        <f t="shared" si="9"/>
        <v/>
      </c>
      <c r="F92" s="2" t="str">
        <f t="shared" si="10"/>
        <v/>
      </c>
      <c r="G92" s="4"/>
      <c r="H92" s="2" t="str">
        <f t="shared" si="7"/>
        <v/>
      </c>
      <c r="I92" s="1" t="str" cm="1">
        <f t="array" ref="I92">IFERROR(IF(G92=G91,I91,CONCATENATE(INDEX(A92:$G$100,SMALL(IF(G92:$G$100=G92,ROW(G92:$G$100)-ROW(G92)+1,ROW($G$100)+1),1),1)," ",INDEX(A92:$G$100,SMALL(IF(G92:$G$100=G92,ROW(G92:$G$100)-ROW(G92)+1,ROW($G$100)+1),1),2))),"")</f>
        <v xml:space="preserve"> </v>
      </c>
      <c r="J92" s="1" t="str" cm="1">
        <f t="array" ref="J92">IFERROR(IF(G92=G91,J91,CONCATENATE(INDEX(A92:$G$100,SMALL(IF(G92:$G$100=G92,ROW(G92:$G$100)-ROW(G92)+1,ROW($G$100)+1),2),1)," ",INDEX(A92:$G$100,SMALL(IF(G92:$G$100=G92,ROW(G92:$G$100)-ROW(G92)+1,ROW($G$100)+1),2),2))),"")</f>
        <v xml:space="preserve"> </v>
      </c>
      <c r="K92" s="1" t="str" cm="1">
        <f t="array" ref="K92">IFERROR(IF(G92=G91,K91,CONCATENATE(INDEX(A92:$G$100,SMALL(IF(G92:$G$100=G92,ROW(G92:$G$100)-ROW(G92)+1,ROW($G$100)+1),3),1)," ",INDEX(A92:$G$100,SMALL(IF(G92:$G$100=G92,ROW(G92:$G$100)-ROW(G92)+1,ROW($G$100)+1),3),2))),"")</f>
        <v xml:space="preserve"> </v>
      </c>
      <c r="L92" s="1" t="str" cm="1">
        <f t="array" ref="L92">IFERROR(IF(G92=G91,L91,CONCATENATE(INDEX(A92:$G$100,SMALL(IF(G92:$G$100=G92,ROW(G92:$G$100)-ROW(G92)+1,ROW($G$100)+1),4),1)," ",INDEX(A92:$G$100,SMALL(IF(G92:$G$100=G92,ROW(G92:$G$100)-ROW(G92)+1,ROW($G$100)+1),4),2))),"")</f>
        <v xml:space="preserve"> </v>
      </c>
      <c r="M92" s="1" t="str" cm="1">
        <f t="array" ref="M92">IFERROR(IF(G92=G91,M91,CONCATENATE(INDEX(A92:$G$100,SMALL(IF(G92:$G$100=G92,ROW(G92:$G$100)-ROW(G92)+1,ROW($G$100)+1),5),1)," ",INDEX(A92:$G$100,SMALL(IF(G92:$G$100=G92,ROW(G92:$G$100)-ROW(G92)+1,ROW($G$100)+1),5),2))),"")</f>
        <v xml:space="preserve"> </v>
      </c>
      <c r="N92" s="1" t="str" cm="1">
        <f t="array" ref="N92">IFERROR(IF(G92=G91,N91,CONCATENATE(INDEX(A92:$G$100,SMALL(IF(G92:$G$100=G92,ROW(G92:$G$100)-ROW(G92)+1,ROW($G$100)+1),6),1)," ",INDEX(A92:$G$100,SMALL(IF(G92:$G$100=G92,ROW(G92:$G$100)-ROW(G92)+1,ROW($G$100)+1),6),2))),"")</f>
        <v xml:space="preserve"> </v>
      </c>
      <c r="O92" s="1" t="str" cm="1">
        <f t="array" ref="O92">IFERROR(IF(G92=G91,O91,CONCATENATE(INDEX(A92:$G$100,SMALL(IF(G92:$G$100=G92,ROW(G92:$G$100)-ROW(G92)+1,ROW($G$100)+1),7),1)," ",INDEX(A92:$G$100,SMALL(IF(G92:$G$100=G92,ROW(G92:$G$100)-ROW(G92)+1,ROW($G$100)+1),7),2))),"")</f>
        <v xml:space="preserve"> </v>
      </c>
      <c r="P92" s="1" t="str" cm="1">
        <f t="array" ref="P92">IFERROR(IF(G92=G91,P91,CONCATENATE(INDEX(A92:$G$100,SMALL(IF(G92:$G$100=G92,ROW(G92:$G$100)-ROW(G92)+1,ROW($G$100)+1),8),1)," ",INDEX(A92:$G$100,SMALL(IF(G92:$G$100=G92,ROW(G92:$G$100)-ROW(G92)+1,ROW($G$100)+1),8),2))),"")</f>
        <v xml:space="preserve"> </v>
      </c>
      <c r="Q92" s="1" t="str" cm="1">
        <f t="array" ref="Q92">IFERROR(IF(G92=G91,Q91,CONCATENATE(INDEX(A92:$G$100,SMALL(IF(G92:$G$100=G92,ROW(G92:$G$100)-ROW(G92)+1,ROW($G$100)+1),9),1)," ",INDEX(A92:$G$100,SMALL(IF(G92:$G$100=G92,ROW(G92:$G$100)-ROW(G92)+1,ROW($G$100)+1),9),2))),"")</f>
        <v xml:space="preserve"> </v>
      </c>
      <c r="R92" s="1" t="str" cm="1">
        <f t="array" ref="R92">IFERROR(IF(G92=G91,R91,CONCATENATE(INDEX(A92:$G$100,SMALL(IF(G92:$G$100=G92,ROW(G92:$G$100)-ROW(G92)+1,ROW($G$100)+1),10),1)," ",INDEX(A92:$G$100,SMALL(IF(G92:$G$100=G92,ROW(G92:$G$100)-ROW(G92)+1,ROW($G$100)+1),10),2))),"")</f>
        <v xml:space="preserve"> </v>
      </c>
    </row>
    <row r="93" spans="1:18" s="7" customFormat="1" x14ac:dyDescent="0.2">
      <c r="A93" s="10"/>
      <c r="B93" s="10"/>
      <c r="C93" s="10"/>
      <c r="D93" s="8" t="str">
        <f t="shared" si="8"/>
        <v/>
      </c>
      <c r="E93" s="8" t="str">
        <f t="shared" si="9"/>
        <v/>
      </c>
      <c r="F93" s="8" t="str">
        <f t="shared" si="10"/>
        <v/>
      </c>
      <c r="G93" s="12"/>
      <c r="H93" s="8" t="str">
        <f t="shared" si="7"/>
        <v/>
      </c>
      <c r="I93" s="7" t="str" cm="1">
        <f t="array" ref="I93">IFERROR(IF(G93=G92,I92,CONCATENATE(INDEX(A93:$G$100,SMALL(IF(G93:$G$100=G93,ROW(G93:$G$100)-ROW(G93)+1,ROW($G$100)+1),1),1)," ",INDEX(A93:$G$100,SMALL(IF(G93:$G$100=G93,ROW(G93:$G$100)-ROW(G93)+1,ROW($G$100)+1),1),2))),"")</f>
        <v xml:space="preserve"> </v>
      </c>
      <c r="J93" s="7" t="str" cm="1">
        <f t="array" ref="J93">IFERROR(IF(G93=G92,J92,CONCATENATE(INDEX(A93:$G$100,SMALL(IF(G93:$G$100=G93,ROW(G93:$G$100)-ROW(G93)+1,ROW($G$100)+1),2),1)," ",INDEX(A93:$G$100,SMALL(IF(G93:$G$100=G93,ROW(G93:$G$100)-ROW(G93)+1,ROW($G$100)+1),2),2))),"")</f>
        <v xml:space="preserve"> </v>
      </c>
      <c r="K93" s="7" t="str" cm="1">
        <f t="array" ref="K93">IFERROR(IF(G93=G92,K92,CONCATENATE(INDEX(A93:$G$100,SMALL(IF(G93:$G$100=G93,ROW(G93:$G$100)-ROW(G93)+1,ROW($G$100)+1),3),1)," ",INDEX(A93:$G$100,SMALL(IF(G93:$G$100=G93,ROW(G93:$G$100)-ROW(G93)+1,ROW($G$100)+1),3),2))),"")</f>
        <v xml:space="preserve"> </v>
      </c>
      <c r="L93" s="7" t="str" cm="1">
        <f t="array" ref="L93">IFERROR(IF(G93=G92,L92,CONCATENATE(INDEX(A93:$G$100,SMALL(IF(G93:$G$100=G93,ROW(G93:$G$100)-ROW(G93)+1,ROW($G$100)+1),4),1)," ",INDEX(A93:$G$100,SMALL(IF(G93:$G$100=G93,ROW(G93:$G$100)-ROW(G93)+1,ROW($G$100)+1),4),2))),"")</f>
        <v xml:space="preserve"> </v>
      </c>
      <c r="M93" s="7" t="str" cm="1">
        <f t="array" ref="M93">IFERROR(IF(G93=G92,M92,CONCATENATE(INDEX(A93:$G$100,SMALL(IF(G93:$G$100=G93,ROW(G93:$G$100)-ROW(G93)+1,ROW($G$100)+1),5),1)," ",INDEX(A93:$G$100,SMALL(IF(G93:$G$100=G93,ROW(G93:$G$100)-ROW(G93)+1,ROW($G$100)+1),5),2))),"")</f>
        <v xml:space="preserve"> </v>
      </c>
      <c r="N93" s="7" t="str" cm="1">
        <f t="array" ref="N93">IFERROR(IF(G93=G92,N92,CONCATENATE(INDEX(A93:$G$100,SMALL(IF(G93:$G$100=G93,ROW(G93:$G$100)-ROW(G93)+1,ROW($G$100)+1),6),1)," ",INDEX(A93:$G$100,SMALL(IF(G93:$G$100=G93,ROW(G93:$G$100)-ROW(G93)+1,ROW($G$100)+1),6),2))),"")</f>
        <v xml:space="preserve"> </v>
      </c>
      <c r="O93" s="7" t="str" cm="1">
        <f t="array" ref="O93">IFERROR(IF(G93=G92,O92,CONCATENATE(INDEX(A93:$G$100,SMALL(IF(G93:$G$100=G93,ROW(G93:$G$100)-ROW(G93)+1,ROW($G$100)+1),7),1)," ",INDEX(A93:$G$100,SMALL(IF(G93:$G$100=G93,ROW(G93:$G$100)-ROW(G93)+1,ROW($G$100)+1),7),2))),"")</f>
        <v xml:space="preserve"> </v>
      </c>
      <c r="P93" s="7" t="str" cm="1">
        <f t="array" ref="P93">IFERROR(IF(G93=G92,P92,CONCATENATE(INDEX(A93:$G$100,SMALL(IF(G93:$G$100=G93,ROW(G93:$G$100)-ROW(G93)+1,ROW($G$100)+1),8),1)," ",INDEX(A93:$G$100,SMALL(IF(G93:$G$100=G93,ROW(G93:$G$100)-ROW(G93)+1,ROW($G$100)+1),8),2))),"")</f>
        <v xml:space="preserve"> </v>
      </c>
      <c r="Q93" s="7" t="str" cm="1">
        <f t="array" ref="Q93">IFERROR(IF(G93=G92,Q92,CONCATENATE(INDEX(A93:$G$100,SMALL(IF(G93:$G$100=G93,ROW(G93:$G$100)-ROW(G93)+1,ROW($G$100)+1),9),1)," ",INDEX(A93:$G$100,SMALL(IF(G93:$G$100=G93,ROW(G93:$G$100)-ROW(G93)+1,ROW($G$100)+1),9),2))),"")</f>
        <v xml:space="preserve"> </v>
      </c>
      <c r="R93" s="7" t="str" cm="1">
        <f t="array" ref="R93">IFERROR(IF(G93=G92,R92,CONCATENATE(INDEX(A93:$G$100,SMALL(IF(G93:$G$100=G93,ROW(G93:$G$100)-ROW(G93)+1,ROW($G$100)+1),10),1)," ",INDEX(A93:$G$100,SMALL(IF(G93:$G$100=G93,ROW(G93:$G$100)-ROW(G93)+1,ROW($G$100)+1),10),2))),"")</f>
        <v xml:space="preserve"> </v>
      </c>
    </row>
    <row r="94" spans="1:18" x14ac:dyDescent="0.2">
      <c r="A94" s="3"/>
      <c r="B94" s="3"/>
      <c r="C94" s="3"/>
      <c r="D94" s="2" t="str">
        <f t="shared" si="8"/>
        <v/>
      </c>
      <c r="E94" s="2" t="str">
        <f t="shared" si="9"/>
        <v/>
      </c>
      <c r="F94" s="2" t="str">
        <f t="shared" si="10"/>
        <v/>
      </c>
      <c r="G94" s="4"/>
      <c r="H94" s="2" t="str">
        <f t="shared" si="7"/>
        <v/>
      </c>
      <c r="I94" s="1" t="str" cm="1">
        <f t="array" ref="I94">IFERROR(IF(G94=G93,I93,CONCATENATE(INDEX(A94:$G$100,SMALL(IF(G94:$G$100=G94,ROW(G94:$G$100)-ROW(G94)+1,ROW($G$100)+1),1),1)," ",INDEX(A94:$G$100,SMALL(IF(G94:$G$100=G94,ROW(G94:$G$100)-ROW(G94)+1,ROW($G$100)+1),1),2))),"")</f>
        <v xml:space="preserve"> </v>
      </c>
      <c r="J94" s="1" t="str" cm="1">
        <f t="array" ref="J94">IFERROR(IF(G94=G93,J93,CONCATENATE(INDEX(A94:$G$100,SMALL(IF(G94:$G$100=G94,ROW(G94:$G$100)-ROW(G94)+1,ROW($G$100)+1),2),1)," ",INDEX(A94:$G$100,SMALL(IF(G94:$G$100=G94,ROW(G94:$G$100)-ROW(G94)+1,ROW($G$100)+1),2),2))),"")</f>
        <v xml:space="preserve"> </v>
      </c>
      <c r="K94" s="1" t="str" cm="1">
        <f t="array" ref="K94">IFERROR(IF(G94=G93,K93,CONCATENATE(INDEX(A94:$G$100,SMALL(IF(G94:$G$100=G94,ROW(G94:$G$100)-ROW(G94)+1,ROW($G$100)+1),3),1)," ",INDEX(A94:$G$100,SMALL(IF(G94:$G$100=G94,ROW(G94:$G$100)-ROW(G94)+1,ROW($G$100)+1),3),2))),"")</f>
        <v xml:space="preserve"> </v>
      </c>
      <c r="L94" s="1" t="str" cm="1">
        <f t="array" ref="L94">IFERROR(IF(G94=G93,L93,CONCATENATE(INDEX(A94:$G$100,SMALL(IF(G94:$G$100=G94,ROW(G94:$G$100)-ROW(G94)+1,ROW($G$100)+1),4),1)," ",INDEX(A94:$G$100,SMALL(IF(G94:$G$100=G94,ROW(G94:$G$100)-ROW(G94)+1,ROW($G$100)+1),4),2))),"")</f>
        <v xml:space="preserve"> </v>
      </c>
      <c r="M94" s="1" t="str" cm="1">
        <f t="array" ref="M94">IFERROR(IF(G94=G93,M93,CONCATENATE(INDEX(A94:$G$100,SMALL(IF(G94:$G$100=G94,ROW(G94:$G$100)-ROW(G94)+1,ROW($G$100)+1),5),1)," ",INDEX(A94:$G$100,SMALL(IF(G94:$G$100=G94,ROW(G94:$G$100)-ROW(G94)+1,ROW($G$100)+1),5),2))),"")</f>
        <v xml:space="preserve"> </v>
      </c>
      <c r="N94" s="1" t="str" cm="1">
        <f t="array" ref="N94">IFERROR(IF(G94=G93,N93,CONCATENATE(INDEX(A94:$G$100,SMALL(IF(G94:$G$100=G94,ROW(G94:$G$100)-ROW(G94)+1,ROW($G$100)+1),6),1)," ",INDEX(A94:$G$100,SMALL(IF(G94:$G$100=G94,ROW(G94:$G$100)-ROW(G94)+1,ROW($G$100)+1),6),2))),"")</f>
        <v xml:space="preserve"> </v>
      </c>
      <c r="O94" s="1" t="str" cm="1">
        <f t="array" ref="O94">IFERROR(IF(G94=G93,O93,CONCATENATE(INDEX(A94:$G$100,SMALL(IF(G94:$G$100=G94,ROW(G94:$G$100)-ROW(G94)+1,ROW($G$100)+1),7),1)," ",INDEX(A94:$G$100,SMALL(IF(G94:$G$100=G94,ROW(G94:$G$100)-ROW(G94)+1,ROW($G$100)+1),7),2))),"")</f>
        <v xml:space="preserve"> </v>
      </c>
      <c r="P94" s="1" t="str" cm="1">
        <f t="array" ref="P94">IFERROR(IF(G94=G93,P93,CONCATENATE(INDEX(A94:$G$100,SMALL(IF(G94:$G$100=G94,ROW(G94:$G$100)-ROW(G94)+1,ROW($G$100)+1),8),1)," ",INDEX(A94:$G$100,SMALL(IF(G94:$G$100=G94,ROW(G94:$G$100)-ROW(G94)+1,ROW($G$100)+1),8),2))),"")</f>
        <v xml:space="preserve"> </v>
      </c>
      <c r="Q94" s="1" t="str" cm="1">
        <f t="array" ref="Q94">IFERROR(IF(G94=G93,Q93,CONCATENATE(INDEX(A94:$G$100,SMALL(IF(G94:$G$100=G94,ROW(G94:$G$100)-ROW(G94)+1,ROW($G$100)+1),9),1)," ",INDEX(A94:$G$100,SMALL(IF(G94:$G$100=G94,ROW(G94:$G$100)-ROW(G94)+1,ROW($G$100)+1),9),2))),"")</f>
        <v xml:space="preserve"> </v>
      </c>
      <c r="R94" s="1" t="str" cm="1">
        <f t="array" ref="R94">IFERROR(IF(G94=G93,R93,CONCATENATE(INDEX(A94:$G$100,SMALL(IF(G94:$G$100=G94,ROW(G94:$G$100)-ROW(G94)+1,ROW($G$100)+1),10),1)," ",INDEX(A94:$G$100,SMALL(IF(G94:$G$100=G94,ROW(G94:$G$100)-ROW(G94)+1,ROW($G$100)+1),10),2))),"")</f>
        <v xml:space="preserve"> </v>
      </c>
    </row>
    <row r="95" spans="1:18" s="7" customFormat="1" x14ac:dyDescent="0.2">
      <c r="A95" s="10"/>
      <c r="B95" s="10"/>
      <c r="C95" s="10"/>
      <c r="D95" s="8" t="str">
        <f t="shared" si="8"/>
        <v/>
      </c>
      <c r="E95" s="8" t="str">
        <f t="shared" si="9"/>
        <v/>
      </c>
      <c r="F95" s="8" t="str">
        <f t="shared" si="10"/>
        <v/>
      </c>
      <c r="G95" s="12"/>
      <c r="H95" s="8" t="str">
        <f t="shared" si="7"/>
        <v/>
      </c>
      <c r="I95" s="7" t="str" cm="1">
        <f t="array" ref="I95">IFERROR(IF(G95=G94,I94,CONCATENATE(INDEX(A95:$G$100,SMALL(IF(G95:$G$100=G95,ROW(G95:$G$100)-ROW(G95)+1,ROW($G$100)+1),1),1)," ",INDEX(A95:$G$100,SMALL(IF(G95:$G$100=G95,ROW(G95:$G$100)-ROW(G95)+1,ROW($G$100)+1),1),2))),"")</f>
        <v xml:space="preserve"> </v>
      </c>
      <c r="J95" s="7" t="str" cm="1">
        <f t="array" ref="J95">IFERROR(IF(G95=G94,J94,CONCATENATE(INDEX(A95:$G$100,SMALL(IF(G95:$G$100=G95,ROW(G95:$G$100)-ROW(G95)+1,ROW($G$100)+1),2),1)," ",INDEX(A95:$G$100,SMALL(IF(G95:$G$100=G95,ROW(G95:$G$100)-ROW(G95)+1,ROW($G$100)+1),2),2))),"")</f>
        <v xml:space="preserve"> </v>
      </c>
      <c r="K95" s="7" t="str" cm="1">
        <f t="array" ref="K95">IFERROR(IF(G95=G94,K94,CONCATENATE(INDEX(A95:$G$100,SMALL(IF(G95:$G$100=G95,ROW(G95:$G$100)-ROW(G95)+1,ROW($G$100)+1),3),1)," ",INDEX(A95:$G$100,SMALL(IF(G95:$G$100=G95,ROW(G95:$G$100)-ROW(G95)+1,ROW($G$100)+1),3),2))),"")</f>
        <v xml:space="preserve"> </v>
      </c>
      <c r="L95" s="7" t="str" cm="1">
        <f t="array" ref="L95">IFERROR(IF(G95=G94,L94,CONCATENATE(INDEX(A95:$G$100,SMALL(IF(G95:$G$100=G95,ROW(G95:$G$100)-ROW(G95)+1,ROW($G$100)+1),4),1)," ",INDEX(A95:$G$100,SMALL(IF(G95:$G$100=G95,ROW(G95:$G$100)-ROW(G95)+1,ROW($G$100)+1),4),2))),"")</f>
        <v xml:space="preserve"> </v>
      </c>
      <c r="M95" s="7" t="str" cm="1">
        <f t="array" ref="M95">IFERROR(IF(G95=G94,M94,CONCATENATE(INDEX(A95:$G$100,SMALL(IF(G95:$G$100=G95,ROW(G95:$G$100)-ROW(G95)+1,ROW($G$100)+1),5),1)," ",INDEX(A95:$G$100,SMALL(IF(G95:$G$100=G95,ROW(G95:$G$100)-ROW(G95)+1,ROW($G$100)+1),5),2))),"")</f>
        <v xml:space="preserve"> </v>
      </c>
      <c r="N95" s="7" t="str" cm="1">
        <f t="array" ref="N95">IFERROR(IF(G95=G94,N94,CONCATENATE(INDEX(A95:$G$100,SMALL(IF(G95:$G$100=G95,ROW(G95:$G$100)-ROW(G95)+1,ROW($G$100)+1),6),1)," ",INDEX(A95:$G$100,SMALL(IF(G95:$G$100=G95,ROW(G95:$G$100)-ROW(G95)+1,ROW($G$100)+1),6),2))),"")</f>
        <v xml:space="preserve"> </v>
      </c>
      <c r="O95" s="7" t="str" cm="1">
        <f t="array" ref="O95">IFERROR(IF(G95=G94,O94,CONCATENATE(INDEX(A95:$G$100,SMALL(IF(G95:$G$100=G95,ROW(G95:$G$100)-ROW(G95)+1,ROW($G$100)+1),7),1)," ",INDEX(A95:$G$100,SMALL(IF(G95:$G$100=G95,ROW(G95:$G$100)-ROW(G95)+1,ROW($G$100)+1),7),2))),"")</f>
        <v xml:space="preserve"> </v>
      </c>
      <c r="P95" s="7" t="str" cm="1">
        <f t="array" ref="P95">IFERROR(IF(G95=G94,P94,CONCATENATE(INDEX(A95:$G$100,SMALL(IF(G95:$G$100=G95,ROW(G95:$G$100)-ROW(G95)+1,ROW($G$100)+1),8),1)," ",INDEX(A95:$G$100,SMALL(IF(G95:$G$100=G95,ROW(G95:$G$100)-ROW(G95)+1,ROW($G$100)+1),8),2))),"")</f>
        <v xml:space="preserve"> </v>
      </c>
      <c r="Q95" s="7" t="str" cm="1">
        <f t="array" ref="Q95">IFERROR(IF(G95=G94,Q94,CONCATENATE(INDEX(A95:$G$100,SMALL(IF(G95:$G$100=G95,ROW(G95:$G$100)-ROW(G95)+1,ROW($G$100)+1),9),1)," ",INDEX(A95:$G$100,SMALL(IF(G95:$G$100=G95,ROW(G95:$G$100)-ROW(G95)+1,ROW($G$100)+1),9),2))),"")</f>
        <v xml:space="preserve"> </v>
      </c>
      <c r="R95" s="7" t="str" cm="1">
        <f t="array" ref="R95">IFERROR(IF(G95=G94,R94,CONCATENATE(INDEX(A95:$G$100,SMALL(IF(G95:$G$100=G95,ROW(G95:$G$100)-ROW(G95)+1,ROW($G$100)+1),10),1)," ",INDEX(A95:$G$100,SMALL(IF(G95:$G$100=G95,ROW(G95:$G$100)-ROW(G95)+1,ROW($G$100)+1),10),2))),"")</f>
        <v xml:space="preserve"> </v>
      </c>
    </row>
    <row r="96" spans="1:18" x14ac:dyDescent="0.2">
      <c r="A96" s="3"/>
      <c r="B96" s="3"/>
      <c r="C96" s="3"/>
      <c r="D96" s="2" t="str">
        <f t="shared" si="8"/>
        <v/>
      </c>
      <c r="E96" s="2" t="str">
        <f t="shared" si="9"/>
        <v/>
      </c>
      <c r="F96" s="2" t="str">
        <f t="shared" si="10"/>
        <v/>
      </c>
      <c r="G96" s="4"/>
      <c r="H96" s="2" t="str">
        <f t="shared" si="7"/>
        <v/>
      </c>
      <c r="I96" s="1" t="str" cm="1">
        <f t="array" ref="I96">IFERROR(IF(G96=G95,I95,CONCATENATE(INDEX(A96:$G$100,SMALL(IF(G96:$G$100=G96,ROW(G96:$G$100)-ROW(G96)+1,ROW($G$100)+1),1),1)," ",INDEX(A96:$G$100,SMALL(IF(G96:$G$100=G96,ROW(G96:$G$100)-ROW(G96)+1,ROW($G$100)+1),1),2))),"")</f>
        <v xml:space="preserve"> </v>
      </c>
      <c r="J96" s="1" t="str" cm="1">
        <f t="array" ref="J96">IFERROR(IF(G96=G95,J95,CONCATENATE(INDEX(A96:$G$100,SMALL(IF(G96:$G$100=G96,ROW(G96:$G$100)-ROW(G96)+1,ROW($G$100)+1),2),1)," ",INDEX(A96:$G$100,SMALL(IF(G96:$G$100=G96,ROW(G96:$G$100)-ROW(G96)+1,ROW($G$100)+1),2),2))),"")</f>
        <v xml:space="preserve"> </v>
      </c>
      <c r="K96" s="1" t="str" cm="1">
        <f t="array" ref="K96">IFERROR(IF(G96=G95,K95,CONCATENATE(INDEX(A96:$G$100,SMALL(IF(G96:$G$100=G96,ROW(G96:$G$100)-ROW(G96)+1,ROW($G$100)+1),3),1)," ",INDEX(A96:$G$100,SMALL(IF(G96:$G$100=G96,ROW(G96:$G$100)-ROW(G96)+1,ROW($G$100)+1),3),2))),"")</f>
        <v xml:space="preserve"> </v>
      </c>
      <c r="L96" s="1" t="str" cm="1">
        <f t="array" ref="L96">IFERROR(IF(G96=G95,L95,CONCATENATE(INDEX(A96:$G$100,SMALL(IF(G96:$G$100=G96,ROW(G96:$G$100)-ROW(G96)+1,ROW($G$100)+1),4),1)," ",INDEX(A96:$G$100,SMALL(IF(G96:$G$100=G96,ROW(G96:$G$100)-ROW(G96)+1,ROW($G$100)+1),4),2))),"")</f>
        <v xml:space="preserve"> </v>
      </c>
      <c r="M96" s="1" t="str" cm="1">
        <f t="array" ref="M96">IFERROR(IF(G96=G95,M95,CONCATENATE(INDEX(A96:$G$100,SMALL(IF(G96:$G$100=G96,ROW(G96:$G$100)-ROW(G96)+1,ROW($G$100)+1),5),1)," ",INDEX(A96:$G$100,SMALL(IF(G96:$G$100=G96,ROW(G96:$G$100)-ROW(G96)+1,ROW($G$100)+1),5),2))),"")</f>
        <v xml:space="preserve"> </v>
      </c>
      <c r="N96" s="1" t="str" cm="1">
        <f t="array" ref="N96">IFERROR(IF(G96=G95,N95,CONCATENATE(INDEX(A96:$G$100,SMALL(IF(G96:$G$100=G96,ROW(G96:$G$100)-ROW(G96)+1,ROW($G$100)+1),6),1)," ",INDEX(A96:$G$100,SMALL(IF(G96:$G$100=G96,ROW(G96:$G$100)-ROW(G96)+1,ROW($G$100)+1),6),2))),"")</f>
        <v xml:space="preserve"> </v>
      </c>
      <c r="O96" s="1" t="str" cm="1">
        <f t="array" ref="O96">IFERROR(IF(G96=G95,O95,CONCATENATE(INDEX(A96:$G$100,SMALL(IF(G96:$G$100=G96,ROW(G96:$G$100)-ROW(G96)+1,ROW($G$100)+1),7),1)," ",INDEX(A96:$G$100,SMALL(IF(G96:$G$100=G96,ROW(G96:$G$100)-ROW(G96)+1,ROW($G$100)+1),7),2))),"")</f>
        <v xml:space="preserve"> </v>
      </c>
      <c r="P96" s="1" t="str" cm="1">
        <f t="array" ref="P96">IFERROR(IF(G96=G95,P95,CONCATENATE(INDEX(A96:$G$100,SMALL(IF(G96:$G$100=G96,ROW(G96:$G$100)-ROW(G96)+1,ROW($G$100)+1),8),1)," ",INDEX(A96:$G$100,SMALL(IF(G96:$G$100=G96,ROW(G96:$G$100)-ROW(G96)+1,ROW($G$100)+1),8),2))),"")</f>
        <v xml:space="preserve"> </v>
      </c>
      <c r="Q96" s="1" t="str" cm="1">
        <f t="array" ref="Q96">IFERROR(IF(G96=G95,Q95,CONCATENATE(INDEX(A96:$G$100,SMALL(IF(G96:$G$100=G96,ROW(G96:$G$100)-ROW(G96)+1,ROW($G$100)+1),9),1)," ",INDEX(A96:$G$100,SMALL(IF(G96:$G$100=G96,ROW(G96:$G$100)-ROW(G96)+1,ROW($G$100)+1),9),2))),"")</f>
        <v xml:space="preserve"> </v>
      </c>
      <c r="R96" s="1" t="str" cm="1">
        <f t="array" ref="R96">IFERROR(IF(G96=G95,R95,CONCATENATE(INDEX(A96:$G$100,SMALL(IF(G96:$G$100=G96,ROW(G96:$G$100)-ROW(G96)+1,ROW($G$100)+1),10),1)," ",INDEX(A96:$G$100,SMALL(IF(G96:$G$100=G96,ROW(G96:$G$100)-ROW(G96)+1,ROW($G$100)+1),10),2))),"")</f>
        <v xml:space="preserve"> </v>
      </c>
    </row>
    <row r="97" spans="1:18" s="7" customFormat="1" x14ac:dyDescent="0.2">
      <c r="A97" s="10"/>
      <c r="B97" s="10"/>
      <c r="C97" s="10"/>
      <c r="D97" s="8" t="str">
        <f t="shared" si="8"/>
        <v/>
      </c>
      <c r="E97" s="8" t="str">
        <f t="shared" si="9"/>
        <v/>
      </c>
      <c r="F97" s="8" t="str">
        <f t="shared" si="10"/>
        <v/>
      </c>
      <c r="G97" s="12"/>
      <c r="H97" s="8" t="str">
        <f t="shared" si="7"/>
        <v/>
      </c>
      <c r="I97" s="7" t="str" cm="1">
        <f t="array" ref="I97">IFERROR(IF(G97=G96,I96,CONCATENATE(INDEX(A97:$G$100,SMALL(IF(G97:$G$100=G97,ROW(G97:$G$100)-ROW(G97)+1,ROW($G$100)+1),1),1)," ",INDEX(A97:$G$100,SMALL(IF(G97:$G$100=G97,ROW(G97:$G$100)-ROW(G97)+1,ROW($G$100)+1),1),2))),"")</f>
        <v xml:space="preserve"> </v>
      </c>
      <c r="J97" s="7" t="str" cm="1">
        <f t="array" ref="J97">IFERROR(IF(G97=G96,J96,CONCATENATE(INDEX(A97:$G$100,SMALL(IF(G97:$G$100=G97,ROW(G97:$G$100)-ROW(G97)+1,ROW($G$100)+1),2),1)," ",INDEX(A97:$G$100,SMALL(IF(G97:$G$100=G97,ROW(G97:$G$100)-ROW(G97)+1,ROW($G$100)+1),2),2))),"")</f>
        <v xml:space="preserve"> </v>
      </c>
      <c r="K97" s="7" t="str" cm="1">
        <f t="array" ref="K97">IFERROR(IF(G97=G96,K96,CONCATENATE(INDEX(A97:$G$100,SMALL(IF(G97:$G$100=G97,ROW(G97:$G$100)-ROW(G97)+1,ROW($G$100)+1),3),1)," ",INDEX(A97:$G$100,SMALL(IF(G97:$G$100=G97,ROW(G97:$G$100)-ROW(G97)+1,ROW($G$100)+1),3),2))),"")</f>
        <v xml:space="preserve"> </v>
      </c>
      <c r="L97" s="7" t="str" cm="1">
        <f t="array" ref="L97">IFERROR(IF(G97=G96,L96,CONCATENATE(INDEX(A97:$G$100,SMALL(IF(G97:$G$100=G97,ROW(G97:$G$100)-ROW(G97)+1,ROW($G$100)+1),4),1)," ",INDEX(A97:$G$100,SMALL(IF(G97:$G$100=G97,ROW(G97:$G$100)-ROW(G97)+1,ROW($G$100)+1),4),2))),"")</f>
        <v xml:space="preserve"> </v>
      </c>
      <c r="M97" s="7" t="str" cm="1">
        <f t="array" ref="M97">IFERROR(IF(G97=G96,M96,CONCATENATE(INDEX(A97:$G$100,SMALL(IF(G97:$G$100=G97,ROW(G97:$G$100)-ROW(G97)+1,ROW($G$100)+1),5),1)," ",INDEX(A97:$G$100,SMALL(IF(G97:$G$100=G97,ROW(G97:$G$100)-ROW(G97)+1,ROW($G$100)+1),5),2))),"")</f>
        <v xml:space="preserve"> </v>
      </c>
      <c r="N97" s="7" t="str" cm="1">
        <f t="array" ref="N97">IFERROR(IF(G97=G96,N96,CONCATENATE(INDEX(A97:$G$100,SMALL(IF(G97:$G$100=G97,ROW(G97:$G$100)-ROW(G97)+1,ROW($G$100)+1),6),1)," ",INDEX(A97:$G$100,SMALL(IF(G97:$G$100=G97,ROW(G97:$G$100)-ROW(G97)+1,ROW($G$100)+1),6),2))),"")</f>
        <v xml:space="preserve"> </v>
      </c>
      <c r="O97" s="7" t="str" cm="1">
        <f t="array" ref="O97">IFERROR(IF(G97=G96,O96,CONCATENATE(INDEX(A97:$G$100,SMALL(IF(G97:$G$100=G97,ROW(G97:$G$100)-ROW(G97)+1,ROW($G$100)+1),7),1)," ",INDEX(A97:$G$100,SMALL(IF(G97:$G$100=G97,ROW(G97:$G$100)-ROW(G97)+1,ROW($G$100)+1),7),2))),"")</f>
        <v xml:space="preserve"> </v>
      </c>
      <c r="P97" s="7" t="str" cm="1">
        <f t="array" ref="P97">IFERROR(IF(G97=G96,P96,CONCATENATE(INDEX(A97:$G$100,SMALL(IF(G97:$G$100=G97,ROW(G97:$G$100)-ROW(G97)+1,ROW($G$100)+1),8),1)," ",INDEX(A97:$G$100,SMALL(IF(G97:$G$100=G97,ROW(G97:$G$100)-ROW(G97)+1,ROW($G$100)+1),8),2))),"")</f>
        <v xml:space="preserve"> </v>
      </c>
      <c r="Q97" s="7" t="str" cm="1">
        <f t="array" ref="Q97">IFERROR(IF(G97=G96,Q96,CONCATENATE(INDEX(A97:$G$100,SMALL(IF(G97:$G$100=G97,ROW(G97:$G$100)-ROW(G97)+1,ROW($G$100)+1),9),1)," ",INDEX(A97:$G$100,SMALL(IF(G97:$G$100=G97,ROW(G97:$G$100)-ROW(G97)+1,ROW($G$100)+1),9),2))),"")</f>
        <v xml:space="preserve"> </v>
      </c>
      <c r="R97" s="7" t="str" cm="1">
        <f t="array" ref="R97">IFERROR(IF(G97=G96,R96,CONCATENATE(INDEX(A97:$G$100,SMALL(IF(G97:$G$100=G97,ROW(G97:$G$100)-ROW(G97)+1,ROW($G$100)+1),10),1)," ",INDEX(A97:$G$100,SMALL(IF(G97:$G$100=G97,ROW(G97:$G$100)-ROW(G97)+1,ROW($G$100)+1),10),2))),"")</f>
        <v xml:space="preserve"> </v>
      </c>
    </row>
    <row r="98" spans="1:18" x14ac:dyDescent="0.2">
      <c r="A98" s="3"/>
      <c r="B98" s="3"/>
      <c r="C98" s="3"/>
      <c r="D98" s="2" t="str">
        <f t="shared" si="8"/>
        <v/>
      </c>
      <c r="E98" s="2" t="str">
        <f t="shared" si="9"/>
        <v/>
      </c>
      <c r="F98" s="2" t="str">
        <f t="shared" si="10"/>
        <v/>
      </c>
      <c r="G98" s="4"/>
      <c r="H98" s="2" t="str">
        <f t="shared" si="7"/>
        <v/>
      </c>
      <c r="I98" s="1" t="str" cm="1">
        <f t="array" ref="I98">IFERROR(IF(G98=G97,I97,CONCATENATE(INDEX(A98:$G$100,SMALL(IF(G98:$G$100=G98,ROW(G98:$G$100)-ROW(G98)+1,ROW($G$100)+1),1),1)," ",INDEX(A98:$G$100,SMALL(IF(G98:$G$100=G98,ROW(G98:$G$100)-ROW(G98)+1,ROW($G$100)+1),1),2))),"")</f>
        <v xml:space="preserve"> </v>
      </c>
      <c r="J98" s="1" t="str" cm="1">
        <f t="array" ref="J98">IFERROR(IF(G98=G97,J97,CONCATENATE(INDEX(A98:$G$100,SMALL(IF(G98:$G$100=G98,ROW(G98:$G$100)-ROW(G98)+1,ROW($G$100)+1),2),1)," ",INDEX(A98:$G$100,SMALL(IF(G98:$G$100=G98,ROW(G98:$G$100)-ROW(G98)+1,ROW($G$100)+1),2),2))),"")</f>
        <v xml:space="preserve"> </v>
      </c>
      <c r="K98" s="1" t="str" cm="1">
        <f t="array" ref="K98">IFERROR(IF(G98=G97,K97,CONCATENATE(INDEX(A98:$G$100,SMALL(IF(G98:$G$100=G98,ROW(G98:$G$100)-ROW(G98)+1,ROW($G$100)+1),3),1)," ",INDEX(A98:$G$100,SMALL(IF(G98:$G$100=G98,ROW(G98:$G$100)-ROW(G98)+1,ROW($G$100)+1),3),2))),"")</f>
        <v xml:space="preserve"> </v>
      </c>
      <c r="L98" s="1" t="str" cm="1">
        <f t="array" ref="L98">IFERROR(IF(G98=G97,L97,CONCATENATE(INDEX(A98:$G$100,SMALL(IF(G98:$G$100=G98,ROW(G98:$G$100)-ROW(G98)+1,ROW($G$100)+1),4),1)," ",INDEX(A98:$G$100,SMALL(IF(G98:$G$100=G98,ROW(G98:$G$100)-ROW(G98)+1,ROW($G$100)+1),4),2))),"")</f>
        <v xml:space="preserve"> </v>
      </c>
      <c r="M98" s="1" t="str" cm="1">
        <f t="array" ref="M98">IFERROR(IF(G98=G97,M97,CONCATENATE(INDEX(A98:$G$100,SMALL(IF(G98:$G$100=G98,ROW(G98:$G$100)-ROW(G98)+1,ROW($G$100)+1),5),1)," ",INDEX(A98:$G$100,SMALL(IF(G98:$G$100=G98,ROW(G98:$G$100)-ROW(G98)+1,ROW($G$100)+1),5),2))),"")</f>
        <v xml:space="preserve"> </v>
      </c>
      <c r="N98" s="1" t="str" cm="1">
        <f t="array" ref="N98">IFERROR(IF(G98=G97,N97,CONCATENATE(INDEX(A98:$G$100,SMALL(IF(G98:$G$100=G98,ROW(G98:$G$100)-ROW(G98)+1,ROW($G$100)+1),6),1)," ",INDEX(A98:$G$100,SMALL(IF(G98:$G$100=G98,ROW(G98:$G$100)-ROW(G98)+1,ROW($G$100)+1),6),2))),"")</f>
        <v xml:space="preserve"> </v>
      </c>
      <c r="O98" s="1" t="str" cm="1">
        <f t="array" ref="O98">IFERROR(IF(G98=G97,O97,CONCATENATE(INDEX(A98:$G$100,SMALL(IF(G98:$G$100=G98,ROW(G98:$G$100)-ROW(G98)+1,ROW($G$100)+1),7),1)," ",INDEX(A98:$G$100,SMALL(IF(G98:$G$100=G98,ROW(G98:$G$100)-ROW(G98)+1,ROW($G$100)+1),7),2))),"")</f>
        <v xml:space="preserve"> </v>
      </c>
      <c r="P98" s="1" t="str" cm="1">
        <f t="array" ref="P98">IFERROR(IF(G98=G97,P97,CONCATENATE(INDEX(A98:$G$100,SMALL(IF(G98:$G$100=G98,ROW(G98:$G$100)-ROW(G98)+1,ROW($G$100)+1),8),1)," ",INDEX(A98:$G$100,SMALL(IF(G98:$G$100=G98,ROW(G98:$G$100)-ROW(G98)+1,ROW($G$100)+1),8),2))),"")</f>
        <v xml:space="preserve"> </v>
      </c>
      <c r="Q98" s="1" t="str" cm="1">
        <f t="array" ref="Q98">IFERROR(IF(G98=G97,Q97,CONCATENATE(INDEX(A98:$G$100,SMALL(IF(G98:$G$100=G98,ROW(G98:$G$100)-ROW(G98)+1,ROW($G$100)+1),9),1)," ",INDEX(A98:$G$100,SMALL(IF(G98:$G$100=G98,ROW(G98:$G$100)-ROW(G98)+1,ROW($G$100)+1),9),2))),"")</f>
        <v xml:space="preserve"> </v>
      </c>
      <c r="R98" s="1" t="str" cm="1">
        <f t="array" ref="R98">IFERROR(IF(G98=G97,R97,CONCATENATE(INDEX(A98:$G$100,SMALL(IF(G98:$G$100=G98,ROW(G98:$G$100)-ROW(G98)+1,ROW($G$100)+1),10),1)," ",INDEX(A98:$G$100,SMALL(IF(G98:$G$100=G98,ROW(G98:$G$100)-ROW(G98)+1,ROW($G$100)+1),10),2))),"")</f>
        <v xml:space="preserve"> </v>
      </c>
    </row>
    <row r="99" spans="1:18" s="7" customFormat="1" x14ac:dyDescent="0.2">
      <c r="A99" s="10"/>
      <c r="B99" s="10"/>
      <c r="C99" s="10"/>
      <c r="D99" s="8" t="str">
        <f t="shared" si="8"/>
        <v/>
      </c>
      <c r="E99" s="8" t="str">
        <f t="shared" si="9"/>
        <v/>
      </c>
      <c r="F99" s="8" t="str">
        <f t="shared" si="10"/>
        <v/>
      </c>
      <c r="G99" s="12"/>
      <c r="H99" s="8" t="str">
        <f t="shared" si="7"/>
        <v/>
      </c>
      <c r="I99" s="7" t="str" cm="1">
        <f t="array" ref="I99">IFERROR(IF(G99=G98,I98,CONCATENATE(INDEX(A99:$G$100,SMALL(IF(G99:$G$100=G99,ROW(G99:$G$100)-ROW(G99)+1,ROW($G$100)+1),1),1)," ",INDEX(A99:$G$100,SMALL(IF(G99:$G$100=G99,ROW(G99:$G$100)-ROW(G99)+1,ROW($G$100)+1),1),2))),"")</f>
        <v xml:space="preserve"> </v>
      </c>
      <c r="J99" s="7" t="str" cm="1">
        <f t="array" ref="J99">IFERROR(IF(G99=G98,J98,CONCATENATE(INDEX(A99:$G$100,SMALL(IF(G99:$G$100=G99,ROW(G99:$G$100)-ROW(G99)+1,ROW($G$100)+1),2),1)," ",INDEX(A99:$G$100,SMALL(IF(G99:$G$100=G99,ROW(G99:$G$100)-ROW(G99)+1,ROW($G$100)+1),2),2))),"")</f>
        <v xml:space="preserve"> </v>
      </c>
      <c r="K99" s="7" t="str" cm="1">
        <f t="array" ref="K99">IFERROR(IF(G99=G98,K98,CONCATENATE(INDEX(A99:$G$100,SMALL(IF(G99:$G$100=G99,ROW(G99:$G$100)-ROW(G99)+1,ROW($G$100)+1),3),1)," ",INDEX(A99:$G$100,SMALL(IF(G99:$G$100=G99,ROW(G99:$G$100)-ROW(G99)+1,ROW($G$100)+1),3),2))),"")</f>
        <v xml:space="preserve"> </v>
      </c>
      <c r="L99" s="7" t="str" cm="1">
        <f t="array" ref="L99">IFERROR(IF(G99=G98,L98,CONCATENATE(INDEX(A99:$G$100,SMALL(IF(G99:$G$100=G99,ROW(G99:$G$100)-ROW(G99)+1,ROW($G$100)+1),4),1)," ",INDEX(A99:$G$100,SMALL(IF(G99:$G$100=G99,ROW(G99:$G$100)-ROW(G99)+1,ROW($G$100)+1),4),2))),"")</f>
        <v xml:space="preserve"> </v>
      </c>
      <c r="M99" s="7" t="str" cm="1">
        <f t="array" ref="M99">IFERROR(IF(G99=G98,M98,CONCATENATE(INDEX(A99:$G$100,SMALL(IF(G99:$G$100=G99,ROW(G99:$G$100)-ROW(G99)+1,ROW($G$100)+1),5),1)," ",INDEX(A99:$G$100,SMALL(IF(G99:$G$100=G99,ROW(G99:$G$100)-ROW(G99)+1,ROW($G$100)+1),5),2))),"")</f>
        <v xml:space="preserve"> </v>
      </c>
      <c r="N99" s="7" t="str" cm="1">
        <f t="array" ref="N99">IFERROR(IF(G99=G98,N98,CONCATENATE(INDEX(A99:$G$100,SMALL(IF(G99:$G$100=G99,ROW(G99:$G$100)-ROW(G99)+1,ROW($G$100)+1),6),1)," ",INDEX(A99:$G$100,SMALL(IF(G99:$G$100=G99,ROW(G99:$G$100)-ROW(G99)+1,ROW($G$100)+1),6),2))),"")</f>
        <v xml:space="preserve"> </v>
      </c>
      <c r="O99" s="7" t="str" cm="1">
        <f t="array" ref="O99">IFERROR(IF(G99=G98,O98,CONCATENATE(INDEX(A99:$G$100,SMALL(IF(G99:$G$100=G99,ROW(G99:$G$100)-ROW(G99)+1,ROW($G$100)+1),7),1)," ",INDEX(A99:$G$100,SMALL(IF(G99:$G$100=G99,ROW(G99:$G$100)-ROW(G99)+1,ROW($G$100)+1),7),2))),"")</f>
        <v xml:space="preserve"> </v>
      </c>
      <c r="P99" s="7" t="str" cm="1">
        <f t="array" ref="P99">IFERROR(IF(G99=G98,P98,CONCATENATE(INDEX(A99:$G$100,SMALL(IF(G99:$G$100=G99,ROW(G99:$G$100)-ROW(G99)+1,ROW($G$100)+1),8),1)," ",INDEX(A99:$G$100,SMALL(IF(G99:$G$100=G99,ROW(G99:$G$100)-ROW(G99)+1,ROW($G$100)+1),8),2))),"")</f>
        <v xml:space="preserve"> </v>
      </c>
      <c r="Q99" s="7" t="str" cm="1">
        <f t="array" ref="Q99">IFERROR(IF(G99=G98,Q98,CONCATENATE(INDEX(A99:$G$100,SMALL(IF(G99:$G$100=G99,ROW(G99:$G$100)-ROW(G99)+1,ROW($G$100)+1),9),1)," ",INDEX(A99:$G$100,SMALL(IF(G99:$G$100=G99,ROW(G99:$G$100)-ROW(G99)+1,ROW($G$100)+1),9),2))),"")</f>
        <v xml:space="preserve"> </v>
      </c>
      <c r="R99" s="7" t="str" cm="1">
        <f t="array" ref="R99">IFERROR(IF(G99=G98,R98,CONCATENATE(INDEX(A99:$G$100,SMALL(IF(G99:$G$100=G99,ROW(G99:$G$100)-ROW(G99)+1,ROW($G$100)+1),10),1)," ",INDEX(A99:$G$100,SMALL(IF(G99:$G$100=G99,ROW(G99:$G$100)-ROW(G99)+1,ROW($G$100)+1),10),2))),"")</f>
        <v xml:space="preserve"> </v>
      </c>
    </row>
    <row r="100" spans="1:18" x14ac:dyDescent="0.2">
      <c r="A100" s="3"/>
      <c r="B100" s="3"/>
      <c r="C100" s="3"/>
      <c r="D100" s="2" t="str">
        <f t="shared" si="8"/>
        <v/>
      </c>
      <c r="E100" s="2" t="str">
        <f t="shared" si="9"/>
        <v/>
      </c>
      <c r="F100" s="2" t="str">
        <f t="shared" si="10"/>
        <v/>
      </c>
      <c r="G100" s="4"/>
      <c r="H100" s="2" t="str">
        <f t="shared" si="7"/>
        <v/>
      </c>
      <c r="I100" s="1" t="str" cm="1">
        <f t="array" ref="I100">IFERROR(IF(G100=G99,I99,CONCATENATE(INDEX(A100:$G$100,SMALL(IF(G100:$G$100=G100,ROW(G100:$G$100)-ROW(G100)+1,ROW($G$100)+1),1),1)," ",INDEX(A100:$G$100,SMALL(IF(G100:$G$100=G100,ROW(G100:$G$100)-ROW(G100)+1,ROW($G$100)+1),1),2))),"")</f>
        <v xml:space="preserve"> </v>
      </c>
      <c r="J100" s="1" t="str" cm="1">
        <f t="array" ref="J100">IFERROR(IF(G100=G99,J99,CONCATENATE(INDEX(A100:$G$100,SMALL(IF(G100:$G$100=G100,ROW(G100:$G$100)-ROW(G100)+1,ROW($G$100)+1),2),1)," ",INDEX(A100:$G$100,SMALL(IF(G100:$G$100=G100,ROW(G100:$G$100)-ROW(G100)+1,ROW($G$100)+1),2),2))),"")</f>
        <v xml:space="preserve"> </v>
      </c>
      <c r="K100" s="1" t="str" cm="1">
        <f t="array" ref="K100">IFERROR(IF(G100=G99,K99,CONCATENATE(INDEX(A100:$G$100,SMALL(IF(G100:$G$100=G100,ROW(G100:$G$100)-ROW(G100)+1,ROW($G$100)+1),3),1)," ",INDEX(A100:$G$100,SMALL(IF(G100:$G$100=G100,ROW(G100:$G$100)-ROW(G100)+1,ROW($G$100)+1),3),2))),"")</f>
        <v xml:space="preserve"> </v>
      </c>
      <c r="L100" s="1" t="str" cm="1">
        <f t="array" ref="L100">IFERROR(IF(G100=G99,L99,CONCATENATE(INDEX(A100:$G$100,SMALL(IF(G100:$G$100=G100,ROW(G100:$G$100)-ROW(G100)+1,ROW($G$100)+1),4),1)," ",INDEX(A100:$G$100,SMALL(IF(G100:$G$100=G100,ROW(G100:$G$100)-ROW(G100)+1,ROW($G$100)+1),4),2))),"")</f>
        <v xml:space="preserve"> </v>
      </c>
      <c r="M100" s="1" t="str" cm="1">
        <f t="array" ref="M100">IFERROR(IF(G100=G99,M99,CONCATENATE(INDEX(A100:$G$100,SMALL(IF(G100:$G$100=G100,ROW(G100:$G$100)-ROW(G100)+1,ROW($G$100)+1),5),1)," ",INDEX(A100:$G$100,SMALL(IF(G100:$G$100=G100,ROW(G100:$G$100)-ROW(G100)+1,ROW($G$100)+1),5),2))),"")</f>
        <v xml:space="preserve"> </v>
      </c>
      <c r="N100" s="1" t="str" cm="1">
        <f t="array" ref="N100">IFERROR(IF(G100=G99,N99,CONCATENATE(INDEX(A100:$G$100,SMALL(IF(G100:$G$100=G100,ROW(G100:$G$100)-ROW(G100)+1,ROW($G$100)+1),6),1)," ",INDEX(A100:$G$100,SMALL(IF(G100:$G$100=G100,ROW(G100:$G$100)-ROW(G100)+1,ROW($G$100)+1),6),2))),"")</f>
        <v xml:space="preserve"> </v>
      </c>
      <c r="O100" s="1" t="str" cm="1">
        <f t="array" ref="O100">IFERROR(IF(G100=G99,O99,CONCATENATE(INDEX(A100:$G$100,SMALL(IF(G100:$G$100=G100,ROW(G100:$G$100)-ROW(G100)+1,ROW($G$100)+1),7),1)," ",INDEX(A100:$G$100,SMALL(IF(G100:$G$100=G100,ROW(G100:$G$100)-ROW(G100)+1,ROW($G$100)+1),7),2))),"")</f>
        <v xml:space="preserve"> </v>
      </c>
      <c r="P100" s="1" t="str" cm="1">
        <f t="array" ref="P100">IFERROR(IF(G100=G99,P99,CONCATENATE(INDEX(A100:$G$100,SMALL(IF(G100:$G$100=G100,ROW(G100:$G$100)-ROW(G100)+1,ROW($G$100)+1),8),1)," ",INDEX(A100:$G$100,SMALL(IF(G100:$G$100=G100,ROW(G100:$G$100)-ROW(G100)+1,ROW($G$100)+1),8),2))),"")</f>
        <v xml:space="preserve"> </v>
      </c>
      <c r="Q100" s="1" t="str" cm="1">
        <f t="array" ref="Q100">IFERROR(IF(G100=G99,Q99,CONCATENATE(INDEX(A100:$G$100,SMALL(IF(G100:$G$100=G100,ROW(G100:$G$100)-ROW(G100)+1,ROW($G$100)+1),9),1)," ",INDEX(A100:$G$100,SMALL(IF(G100:$G$100=G100,ROW(G100:$G$100)-ROW(G100)+1,ROW($G$100)+1),9),2))),"")</f>
        <v xml:space="preserve"> </v>
      </c>
      <c r="R100" s="1" t="str" cm="1">
        <f t="array" ref="R100">IFERROR(IF(G100=G99,R99,CONCATENATE(INDEX(A100:$G$100,SMALL(IF(G100:$G$100=G100,ROW(G100:$G$100)-ROW(G100)+1,ROW($G$100)+1),10),1)," ",INDEX(A100:$G$100,SMALL(IF(G100:$G$100=G100,ROW(G100:$G$100)-ROW(G100)+1,ROW($G$100)+1),10),2))),"")</f>
        <v xml:space="preserve"> </v>
      </c>
    </row>
  </sheetData>
  <protectedRanges>
    <protectedRange sqref="G2:G100" name="Info3"/>
    <protectedRange sqref="A2:C100" name="Info1"/>
    <protectedRange sqref="E2:F2" name="Info2"/>
  </protectedRanges>
  <phoneticPr fontId="19" type="noConversion"/>
  <hyperlinks>
    <hyperlink ref="C2" r:id="rId1" xr:uid="{EC4E4214-C7AB-6B4E-8009-3EDF68BA33BC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</dc:creator>
  <cp:lastModifiedBy>Christopher M Scherpereel</cp:lastModifiedBy>
  <dcterms:created xsi:type="dcterms:W3CDTF">2020-06-10T16:21:51Z</dcterms:created>
  <dcterms:modified xsi:type="dcterms:W3CDTF">2026-07-28T18:21:14Z</dcterms:modified>
</cp:coreProperties>
</file>